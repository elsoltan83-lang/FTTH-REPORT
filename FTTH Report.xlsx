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if\Desktop\New folder\"/>
    </mc:Choice>
  </mc:AlternateContent>
  <xr:revisionPtr revIDLastSave="0" documentId="13_ncr:1_{BC91A83C-1CDC-4358-ACD4-A699973F6CA6}" xr6:coauthVersionLast="47" xr6:coauthVersionMax="47" xr10:uidLastSave="{00000000-0000-0000-0000-000000000000}"/>
  <bookViews>
    <workbookView xWindow="-120" yWindow="-120" windowWidth="20730" windowHeight="11160" activeTab="1" xr2:uid="{299672E3-6C92-4FFC-BFC2-3B7BBF9AD8E8}"/>
  </bookViews>
  <sheets>
    <sheet name="Sheet1" sheetId="1" r:id="rId1"/>
    <sheet name="today" sheetId="2" r:id="rId2"/>
    <sheet name="yesterda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6" i="1" s="1"/>
  <c r="E6" i="1"/>
  <c r="F6" i="1"/>
  <c r="G6" i="1"/>
  <c r="H6" i="1"/>
  <c r="I6" i="1" s="1"/>
  <c r="J6" i="1"/>
  <c r="K6" i="1"/>
  <c r="L6" i="1"/>
  <c r="M6" i="1"/>
  <c r="N6" i="1"/>
  <c r="C7" i="1"/>
  <c r="D7" i="1" s="1"/>
  <c r="E7" i="1"/>
  <c r="F7" i="1"/>
  <c r="G7" i="1"/>
  <c r="H7" i="1"/>
  <c r="I7" i="1" s="1"/>
  <c r="J7" i="1"/>
  <c r="K7" i="1"/>
  <c r="L7" i="1"/>
  <c r="M7" i="1"/>
  <c r="N7" i="1"/>
  <c r="C8" i="1"/>
  <c r="D8" i="1" s="1"/>
  <c r="E8" i="1"/>
  <c r="F8" i="1"/>
  <c r="G8" i="1"/>
  <c r="H8" i="1"/>
  <c r="I8" i="1" s="1"/>
  <c r="J8" i="1"/>
  <c r="K8" i="1"/>
  <c r="L8" i="1"/>
  <c r="M8" i="1"/>
  <c r="N8" i="1"/>
  <c r="C9" i="1"/>
  <c r="D9" i="1" s="1"/>
  <c r="E9" i="1"/>
  <c r="F9" i="1"/>
  <c r="G9" i="1"/>
  <c r="H9" i="1"/>
  <c r="I9" i="1" s="1"/>
  <c r="J9" i="1"/>
  <c r="K9" i="1"/>
  <c r="L9" i="1"/>
  <c r="M9" i="1"/>
  <c r="N9" i="1"/>
  <c r="C10" i="1"/>
  <c r="D10" i="1" s="1"/>
  <c r="E10" i="1"/>
  <c r="F10" i="1"/>
  <c r="G10" i="1"/>
  <c r="H10" i="1"/>
  <c r="I10" i="1" s="1"/>
  <c r="J10" i="1"/>
  <c r="K10" i="1"/>
  <c r="L10" i="1"/>
  <c r="M10" i="1"/>
  <c r="N10" i="1"/>
  <c r="C11" i="1"/>
  <c r="D11" i="1" s="1"/>
  <c r="E11" i="1"/>
  <c r="F11" i="1"/>
  <c r="G11" i="1"/>
  <c r="H11" i="1"/>
  <c r="I11" i="1" s="1"/>
  <c r="J11" i="1"/>
  <c r="K11" i="1"/>
  <c r="L11" i="1"/>
  <c r="M11" i="1"/>
  <c r="N11" i="1"/>
  <c r="C12" i="1"/>
  <c r="D12" i="1" s="1"/>
  <c r="E12" i="1"/>
  <c r="F12" i="1"/>
  <c r="G12" i="1"/>
  <c r="H12" i="1"/>
  <c r="I12" i="1" s="1"/>
  <c r="J12" i="1"/>
  <c r="K12" i="1"/>
  <c r="L12" i="1"/>
  <c r="M12" i="1"/>
  <c r="N12" i="1"/>
  <c r="C13" i="1"/>
  <c r="D13" i="1" s="1"/>
  <c r="E13" i="1"/>
  <c r="F13" i="1"/>
  <c r="G13" i="1"/>
  <c r="H13" i="1"/>
  <c r="I13" i="1" s="1"/>
  <c r="J13" i="1"/>
  <c r="K13" i="1"/>
  <c r="L13" i="1"/>
  <c r="M13" i="1"/>
  <c r="N13" i="1"/>
  <c r="C14" i="1"/>
  <c r="D14" i="1" s="1"/>
  <c r="E14" i="1"/>
  <c r="F14" i="1"/>
  <c r="G14" i="1"/>
  <c r="H14" i="1"/>
  <c r="I14" i="1" s="1"/>
  <c r="J14" i="1"/>
  <c r="K14" i="1"/>
  <c r="L14" i="1"/>
  <c r="M14" i="1"/>
  <c r="N14" i="1"/>
  <c r="C15" i="1"/>
  <c r="D15" i="1" s="1"/>
  <c r="E15" i="1"/>
  <c r="F15" i="1"/>
  <c r="G15" i="1"/>
  <c r="H15" i="1"/>
  <c r="I15" i="1" s="1"/>
  <c r="J15" i="1"/>
  <c r="K15" i="1"/>
  <c r="L15" i="1"/>
  <c r="M15" i="1"/>
  <c r="N15" i="1"/>
  <c r="C16" i="1"/>
  <c r="D16" i="1" s="1"/>
  <c r="E16" i="1"/>
  <c r="F16" i="1"/>
  <c r="G16" i="1"/>
  <c r="H16" i="1"/>
  <c r="I16" i="1" s="1"/>
  <c r="J16" i="1"/>
  <c r="K16" i="1"/>
  <c r="L16" i="1"/>
  <c r="M16" i="1"/>
  <c r="N16" i="1"/>
  <c r="N5" i="1"/>
  <c r="M5" i="1"/>
  <c r="L5" i="1"/>
  <c r="K5" i="1"/>
  <c r="J5" i="1"/>
  <c r="H5" i="1"/>
  <c r="I5" i="1" s="1"/>
  <c r="G5" i="1"/>
  <c r="F5" i="1"/>
  <c r="E5" i="1"/>
  <c r="C5" i="1"/>
  <c r="D5" i="1" s="1"/>
  <c r="C17" i="1" l="1"/>
  <c r="J17" i="1"/>
  <c r="K17" i="1"/>
  <c r="L17" i="1"/>
  <c r="D17" i="1"/>
  <c r="E17" i="1"/>
  <c r="M17" i="1"/>
  <c r="G17" i="1"/>
  <c r="H17" i="1"/>
  <c r="F17" i="1"/>
  <c r="N17" i="1"/>
  <c r="I17" i="1"/>
</calcChain>
</file>

<file path=xl/sharedStrings.xml><?xml version="1.0" encoding="utf-8"?>
<sst xmlns="http://schemas.openxmlformats.org/spreadsheetml/2006/main" count="467" uniqueCount="92">
  <si>
    <t>Region</t>
  </si>
  <si>
    <t xml:space="preserve">Completed </t>
  </si>
  <si>
    <t>Survey Done YTD</t>
  </si>
  <si>
    <t>Pending Survey</t>
  </si>
  <si>
    <t>Flag</t>
  </si>
  <si>
    <t>YTD</t>
  </si>
  <si>
    <t>Yesterday</t>
  </si>
  <si>
    <t xml:space="preserve"> YTD</t>
  </si>
  <si>
    <t>المنطقة الاولى اسكندرية</t>
  </si>
  <si>
    <t>المنطقة الثالثة اسكندرية</t>
  </si>
  <si>
    <t>المنطقة الثانية اسكندرية</t>
  </si>
  <si>
    <t>المنطقة الاولى بالساحل الشمالى</t>
  </si>
  <si>
    <t>المنطقة الثالثة بالساحل الشمالى</t>
  </si>
  <si>
    <t>المنطقة الثانية بالساحل الشمالى</t>
  </si>
  <si>
    <t>منطقة تليفونات البحيرة الاولى</t>
  </si>
  <si>
    <t>منطقة تليفونات البحيرة الثانية</t>
  </si>
  <si>
    <t>منطقة تليفونات كفر الشيخ</t>
  </si>
  <si>
    <t>منطقة الغربية الأولى</t>
  </si>
  <si>
    <t>منطقة الغربية الثانية</t>
  </si>
  <si>
    <t>منطقة تليفونات المنوفية</t>
  </si>
  <si>
    <t>New</t>
  </si>
  <si>
    <t>Migration</t>
  </si>
  <si>
    <t>اجمالى مناطق القطاعات</t>
  </si>
  <si>
    <t>Survey Done</t>
  </si>
  <si>
    <t>المنطقة</t>
  </si>
  <si>
    <t>Senior Sector</t>
  </si>
  <si>
    <t>Sector</t>
  </si>
  <si>
    <t>Type</t>
  </si>
  <si>
    <t>Completed YTD</t>
  </si>
  <si>
    <t>Last 7 Days</t>
  </si>
  <si>
    <t>Flagged 2026</t>
  </si>
  <si>
    <t>Flagged Last 7 Days</t>
  </si>
  <si>
    <t>Flagged Yesterday</t>
  </si>
  <si>
    <t>رئاسة القاهرة الكبرى</t>
  </si>
  <si>
    <t>قطاع شرق القاهرة</t>
  </si>
  <si>
    <t>المنطقة الاولى شرق</t>
  </si>
  <si>
    <t>Normal</t>
  </si>
  <si>
    <t>المنطقة الثالثة شرق</t>
  </si>
  <si>
    <t>المنطقة الثانية شرق</t>
  </si>
  <si>
    <t>قطاع غرب القاهرة</t>
  </si>
  <si>
    <t>المنطقة الاولى غرب</t>
  </si>
  <si>
    <t>المنطقة الثالثة غرب</t>
  </si>
  <si>
    <t>المنطقة الثانية غرب</t>
  </si>
  <si>
    <t>المنطقة الرابعه غرب</t>
  </si>
  <si>
    <t>قطاع مناطق القاهرة الجديدة</t>
  </si>
  <si>
    <t>المنطقة الأولى القاهرة الجديدة</t>
  </si>
  <si>
    <t>المنطقة الثالثة القاهرة الجديدة</t>
  </si>
  <si>
    <t>المنطقة الثانية القاهرة الجديدة</t>
  </si>
  <si>
    <t>المنطقة الرابعة القاهرة الجديدة</t>
  </si>
  <si>
    <t>رئاسة المنطقة الجنوبية</t>
  </si>
  <si>
    <t>قطاع الجيزة</t>
  </si>
  <si>
    <t>المنطقة الاولى جيزة</t>
  </si>
  <si>
    <t>المنطقة الثالثة جيزة</t>
  </si>
  <si>
    <t>المنطقة الثانية جيزة</t>
  </si>
  <si>
    <t>قطاع أكتوبر</t>
  </si>
  <si>
    <t>المنطقة الاولى اكتوبر</t>
  </si>
  <si>
    <t>المنطقة الثالثة اكتوبر</t>
  </si>
  <si>
    <t>المنطقة الثانية اكتوبر</t>
  </si>
  <si>
    <t>قطاع جنوب الصعيد</t>
  </si>
  <si>
    <t>منطقة تليفونات اسوان</t>
  </si>
  <si>
    <t>منطقة تليفونات الاقصر</t>
  </si>
  <si>
    <t>منطقة تليفونات قنا</t>
  </si>
  <si>
    <t>قطاع شمال الصعيد</t>
  </si>
  <si>
    <t>منطقة تليفونات الفيوم</t>
  </si>
  <si>
    <t>منطقة تليفونات المنيا</t>
  </si>
  <si>
    <t>منطقة تليفونات بنى سويف</t>
  </si>
  <si>
    <t>قطاع وسط الصعيد</t>
  </si>
  <si>
    <t>منطقة الوادى الجديد</t>
  </si>
  <si>
    <t>منطقة تليفونات أسيوط</t>
  </si>
  <si>
    <t>منطقة تليفونات سوهاج</t>
  </si>
  <si>
    <t>رئاسة المنطقة الشرقية</t>
  </si>
  <si>
    <t>شرق الدلتا 1</t>
  </si>
  <si>
    <t>المنطقة الأولى لتليفونات الدقهلية</t>
  </si>
  <si>
    <t>المنطقة الثانية لتليفونات الدقهلية</t>
  </si>
  <si>
    <t>منطقة تليفونات دمياط</t>
  </si>
  <si>
    <t>شرق الدلتا 2</t>
  </si>
  <si>
    <t>المنطقة الأولى لتليفونات الشرقية</t>
  </si>
  <si>
    <t>المنطقة الثانية لتليفونات الشرقية</t>
  </si>
  <si>
    <t>منطقة تليفونات القليوبية</t>
  </si>
  <si>
    <t>قطاع الاسماعيلية وشمال سيناء</t>
  </si>
  <si>
    <t>منطقة تليفونات الاسماعيلية</t>
  </si>
  <si>
    <t>منطقة تليفونات بورسعيد</t>
  </si>
  <si>
    <t>منطقة تليفونات شمال سيناء</t>
  </si>
  <si>
    <t>قطاع السويس</t>
  </si>
  <si>
    <t>منطقة تليفونات البحر الاحمر</t>
  </si>
  <si>
    <t>منطقة تليفونات السويس</t>
  </si>
  <si>
    <t>منطقة تليفونات جنوب سيناء</t>
  </si>
  <si>
    <t>رئاسة المنطقة الغربية</t>
  </si>
  <si>
    <t>قطاع الأسكندرية</t>
  </si>
  <si>
    <t>قطاع الساحل الشمالى ومطروح</t>
  </si>
  <si>
    <t>قطاع غرب الدلتا</t>
  </si>
  <si>
    <t>قطاع وسط الدلتا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</si>
</sst>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0" fillId="0" borderId="2" xfId="0" applyBorder="1"/>
    <xf numFmtId="3" fontId="1" fillId="3" borderId="5" xfId="0" applyNumberFormat="1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center"/>
    </xf>
    <xf numFmtId="3" fontId="6" fillId="4" borderId="7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5" fillId="4" borderId="10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3" fontId="1" fillId="3" borderId="12" xfId="0" applyNumberFormat="1" applyFont="1" applyFill="1" applyBorder="1" applyAlignment="1">
      <alignment horizontal="center" vertical="center"/>
    </xf>
    <xf numFmtId="3" fontId="6" fillId="4" borderId="13" xfId="0" applyNumberFormat="1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 vertical="center" wrapText="1"/>
    </xf>
    <xf numFmtId="3" fontId="1" fillId="5" borderId="17" xfId="0" applyNumberFormat="1" applyFont="1" applyFill="1" applyBorder="1" applyAlignment="1">
      <alignment horizontal="center" vertical="center"/>
    </xf>
    <xf numFmtId="3" fontId="1" fillId="5" borderId="18" xfId="0" applyNumberFormat="1" applyFont="1" applyFill="1" applyBorder="1" applyAlignment="1">
      <alignment horizontal="center" vertical="center"/>
    </xf>
    <xf numFmtId="3" fontId="6" fillId="4" borderId="19" xfId="0" applyNumberFormat="1" applyFont="1" applyFill="1" applyBorder="1" applyAlignment="1">
      <alignment horizontal="center"/>
    </xf>
    <xf numFmtId="3" fontId="6" fillId="4" borderId="20" xfId="0" applyNumberFormat="1" applyFont="1" applyFill="1" applyBorder="1" applyAlignment="1">
      <alignment horizontal="center"/>
    </xf>
    <xf numFmtId="3" fontId="6" fillId="4" borderId="2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DFD9-3A31-46CE-8ADA-DE03B4A38275}">
  <dimension ref="B1:N25"/>
  <sheetViews>
    <sheetView rightToLeft="1" workbookViewId="0">
      <selection activeCell="P5" sqref="P5"/>
    </sheetView>
  </sheetViews>
  <sheetFormatPr defaultRowHeight="15" x14ac:dyDescent="0.25"/>
  <cols>
    <col min="1" max="1" width="4.140625" customWidth="1"/>
    <col min="2" max="2" width="27.7109375" customWidth="1"/>
    <col min="3" max="14" width="11.28515625" customWidth="1"/>
  </cols>
  <sheetData>
    <row r="1" spans="2:14" ht="5.25" customHeight="1" thickBot="1" x14ac:dyDescent="0.3"/>
    <row r="2" spans="2:14" ht="19.5" thickTop="1" x14ac:dyDescent="0.3">
      <c r="B2" s="37" t="s">
        <v>24</v>
      </c>
      <c r="C2" s="31" t="s">
        <v>20</v>
      </c>
      <c r="D2" s="32"/>
      <c r="E2" s="32"/>
      <c r="F2" s="32"/>
      <c r="G2" s="33"/>
      <c r="H2" s="34" t="s">
        <v>21</v>
      </c>
      <c r="I2" s="35"/>
      <c r="J2" s="35"/>
      <c r="K2" s="35"/>
      <c r="L2" s="35"/>
      <c r="M2" s="35"/>
      <c r="N2" s="36"/>
    </row>
    <row r="3" spans="2:14" s="6" customFormat="1" ht="23.25" customHeight="1" x14ac:dyDescent="0.25">
      <c r="B3" s="38"/>
      <c r="C3" s="39" t="s">
        <v>1</v>
      </c>
      <c r="D3" s="29"/>
      <c r="E3" s="29" t="s">
        <v>23</v>
      </c>
      <c r="F3" s="29"/>
      <c r="G3" s="40" t="s">
        <v>3</v>
      </c>
      <c r="H3" s="41" t="s">
        <v>1</v>
      </c>
      <c r="I3" s="29"/>
      <c r="J3" s="29" t="s">
        <v>23</v>
      </c>
      <c r="K3" s="29"/>
      <c r="L3" s="29" t="s">
        <v>3</v>
      </c>
      <c r="M3" s="29" t="s">
        <v>4</v>
      </c>
      <c r="N3" s="30"/>
    </row>
    <row r="4" spans="2:14" s="6" customFormat="1" ht="23.25" customHeight="1" x14ac:dyDescent="0.25">
      <c r="B4" s="38"/>
      <c r="C4" s="23" t="s">
        <v>5</v>
      </c>
      <c r="D4" s="14" t="s">
        <v>6</v>
      </c>
      <c r="E4" s="15" t="s">
        <v>7</v>
      </c>
      <c r="F4" s="15" t="s">
        <v>6</v>
      </c>
      <c r="G4" s="40"/>
      <c r="H4" s="20" t="s">
        <v>5</v>
      </c>
      <c r="I4" s="14" t="s">
        <v>6</v>
      </c>
      <c r="J4" s="15" t="s">
        <v>7</v>
      </c>
      <c r="K4" s="15" t="s">
        <v>6</v>
      </c>
      <c r="L4" s="29"/>
      <c r="M4" s="15" t="s">
        <v>7</v>
      </c>
      <c r="N4" s="16" t="s">
        <v>6</v>
      </c>
    </row>
    <row r="5" spans="2:14" s="7" customFormat="1" ht="20.25" customHeight="1" x14ac:dyDescent="0.25">
      <c r="B5" s="18" t="s">
        <v>8</v>
      </c>
      <c r="C5" s="24">
        <f>VLOOKUP(B5,today!C:Q,3,0)</f>
        <v>0</v>
      </c>
      <c r="D5" s="9">
        <f>C5-VLOOKUP(B5,yesterday!C:Q,3,0)</f>
        <v>-4581</v>
      </c>
      <c r="E5" s="9">
        <f>VLOOKUP(B5,today!C:Q,4,0)</f>
        <v>0</v>
      </c>
      <c r="F5" s="9">
        <f>VLOOKUP(B5,today!C:Q,6,0)</f>
        <v>22</v>
      </c>
      <c r="G5" s="25">
        <f>VLOOKUP(B5,today!C:Q,7,0)</f>
        <v>0</v>
      </c>
      <c r="H5" s="21">
        <f>VLOOKUP(B5,today!C:Q,8,0)</f>
        <v>31211</v>
      </c>
      <c r="I5" s="8">
        <f>H5-VLOOKUP(B5,yesterday!C:Q,8,0)</f>
        <v>172</v>
      </c>
      <c r="J5" s="8">
        <f>VLOOKUP(B5,today!C:Q,9,0)</f>
        <v>40962</v>
      </c>
      <c r="K5" s="8">
        <f>VLOOKUP(B5,today!C:Q,11,0)</f>
        <v>0</v>
      </c>
      <c r="L5" s="8">
        <f>VLOOKUP(B5,today!C:Q,12,0)</f>
        <v>11351</v>
      </c>
      <c r="M5" s="8">
        <f>VLOOKUP(B5,today!C:Q,13,0)</f>
        <v>55274</v>
      </c>
      <c r="N5" s="11">
        <f>VLOOKUP(B5,today!C:Q,15,0)</f>
        <v>24</v>
      </c>
    </row>
    <row r="6" spans="2:14" s="7" customFormat="1" ht="20.25" customHeight="1" x14ac:dyDescent="0.25">
      <c r="B6" s="18" t="s">
        <v>9</v>
      </c>
      <c r="C6" s="24">
        <f>VLOOKUP(B6,today!C:Q,3,0)</f>
        <v>0</v>
      </c>
      <c r="D6" s="9">
        <f>C6-VLOOKUP(B6,yesterday!C:Q,3,0)</f>
        <v>-8243</v>
      </c>
      <c r="E6" s="9">
        <f>VLOOKUP(B6,today!C:Q,4,0)</f>
        <v>0</v>
      </c>
      <c r="F6" s="9">
        <f>VLOOKUP(B6,today!C:Q,6,0)</f>
        <v>51</v>
      </c>
      <c r="G6" s="25">
        <f>VLOOKUP(B6,today!C:Q,7,0)</f>
        <v>66</v>
      </c>
      <c r="H6" s="21">
        <f>VLOOKUP(B6,today!C:Q,8,0)</f>
        <v>0</v>
      </c>
      <c r="I6" s="8">
        <f>H6-VLOOKUP(B6,yesterday!C:Q,8,0)</f>
        <v>-36500</v>
      </c>
      <c r="J6" s="8">
        <f>VLOOKUP(B6,today!C:Q,9,0)</f>
        <v>52833</v>
      </c>
      <c r="K6" s="8">
        <f>VLOOKUP(B6,today!C:Q,11,0)</f>
        <v>0</v>
      </c>
      <c r="L6" s="8">
        <f>VLOOKUP(B6,today!C:Q,12,0)</f>
        <v>0</v>
      </c>
      <c r="M6" s="8">
        <f>VLOOKUP(B6,today!C:Q,13,0)</f>
        <v>0</v>
      </c>
      <c r="N6" s="11">
        <f>VLOOKUP(B6,today!C:Q,15,0)</f>
        <v>8</v>
      </c>
    </row>
    <row r="7" spans="2:14" s="7" customFormat="1" ht="20.25" customHeight="1" x14ac:dyDescent="0.25">
      <c r="B7" s="18" t="s">
        <v>10</v>
      </c>
      <c r="C7" s="24">
        <f>VLOOKUP(B7,today!C:Q,3,0)</f>
        <v>0</v>
      </c>
      <c r="D7" s="9">
        <f>C7-VLOOKUP(B7,yesterday!C:Q,3,0)</f>
        <v>-10579</v>
      </c>
      <c r="E7" s="9">
        <f>VLOOKUP(B7,today!C:Q,4,0)</f>
        <v>0</v>
      </c>
      <c r="F7" s="9">
        <f>VLOOKUP(B7,today!C:Q,6,0)</f>
        <v>81</v>
      </c>
      <c r="G7" s="25">
        <f>VLOOKUP(B7,today!C:Q,7,0)</f>
        <v>341</v>
      </c>
      <c r="H7" s="21">
        <f>VLOOKUP(B7,today!C:Q,8,0)</f>
        <v>0</v>
      </c>
      <c r="I7" s="8">
        <f>H7-VLOOKUP(B7,yesterday!C:Q,8,0)</f>
        <v>-48781</v>
      </c>
      <c r="J7" s="8">
        <f>VLOOKUP(B7,today!C:Q,9,0)</f>
        <v>74623</v>
      </c>
      <c r="K7" s="8">
        <f>VLOOKUP(B7,today!C:Q,11,0)</f>
        <v>0</v>
      </c>
      <c r="L7" s="8">
        <f>VLOOKUP(B7,today!C:Q,12,0)</f>
        <v>0</v>
      </c>
      <c r="M7" s="8">
        <f>VLOOKUP(B7,today!C:Q,13,0)</f>
        <v>0</v>
      </c>
      <c r="N7" s="11">
        <f>VLOOKUP(B7,today!C:Q,15,0)</f>
        <v>342</v>
      </c>
    </row>
    <row r="8" spans="2:14" s="7" customFormat="1" ht="20.25" customHeight="1" x14ac:dyDescent="0.25">
      <c r="B8" s="18" t="s">
        <v>11</v>
      </c>
      <c r="C8" s="24">
        <f>VLOOKUP(B8,today!C:Q,3,0)</f>
        <v>9536</v>
      </c>
      <c r="D8" s="9">
        <f>C8-VLOOKUP(B8,yesterday!C:Q,3,0)</f>
        <v>84</v>
      </c>
      <c r="E8" s="9">
        <f>VLOOKUP(B8,today!C:Q,4,0)</f>
        <v>0</v>
      </c>
      <c r="F8" s="9">
        <f>VLOOKUP(B8,today!C:Q,6,0)</f>
        <v>59</v>
      </c>
      <c r="G8" s="25">
        <f>VLOOKUP(B8,today!C:Q,7,0)</f>
        <v>130</v>
      </c>
      <c r="H8" s="21">
        <f>VLOOKUP(B8,today!C:Q,8,0)</f>
        <v>0</v>
      </c>
      <c r="I8" s="8">
        <f>H8-VLOOKUP(B8,yesterday!C:Q,8,0)</f>
        <v>-30404</v>
      </c>
      <c r="J8" s="8">
        <f>VLOOKUP(B8,today!C:Q,9,0)</f>
        <v>0</v>
      </c>
      <c r="K8" s="8">
        <f>VLOOKUP(B8,today!C:Q,11,0)</f>
        <v>299</v>
      </c>
      <c r="L8" s="8">
        <f>VLOOKUP(B8,today!C:Q,12,0)</f>
        <v>0</v>
      </c>
      <c r="M8" s="8">
        <f>VLOOKUP(B8,today!C:Q,13,0)</f>
        <v>0</v>
      </c>
      <c r="N8" s="11">
        <f>VLOOKUP(B8,today!C:Q,15,0)</f>
        <v>21</v>
      </c>
    </row>
    <row r="9" spans="2:14" s="7" customFormat="1" ht="20.25" customHeight="1" x14ac:dyDescent="0.25">
      <c r="B9" s="18" t="s">
        <v>12</v>
      </c>
      <c r="C9" s="24">
        <f>VLOOKUP(B9,today!C:Q,3,0)</f>
        <v>3439</v>
      </c>
      <c r="D9" s="9">
        <f>C9-VLOOKUP(B9,yesterday!C:Q,3,0)</f>
        <v>1</v>
      </c>
      <c r="E9" s="9">
        <f>VLOOKUP(B9,today!C:Q,4,0)</f>
        <v>1967</v>
      </c>
      <c r="F9" s="9">
        <f>VLOOKUP(B9,today!C:Q,6,0)</f>
        <v>4</v>
      </c>
      <c r="G9" s="25">
        <f>VLOOKUP(B9,today!C:Q,7,0)</f>
        <v>5</v>
      </c>
      <c r="H9" s="21">
        <f>VLOOKUP(B9,today!C:Q,8,0)</f>
        <v>16</v>
      </c>
      <c r="I9" s="8">
        <f>H9-VLOOKUP(B9,yesterday!C:Q,8,0)</f>
        <v>0</v>
      </c>
      <c r="J9" s="8">
        <f>VLOOKUP(B9,today!C:Q,9,0)</f>
        <v>0</v>
      </c>
      <c r="K9" s="8">
        <f>VLOOKUP(B9,today!C:Q,11,0)</f>
        <v>1</v>
      </c>
      <c r="L9" s="8">
        <f>VLOOKUP(B9,today!C:Q,12,0)</f>
        <v>0</v>
      </c>
      <c r="M9" s="8">
        <f>VLOOKUP(B9,today!C:Q,13,0)</f>
        <v>0</v>
      </c>
      <c r="N9" s="11">
        <f>VLOOKUP(B9,today!C:Q,15,0)</f>
        <v>0</v>
      </c>
    </row>
    <row r="10" spans="2:14" s="7" customFormat="1" ht="20.25" customHeight="1" x14ac:dyDescent="0.25">
      <c r="B10" s="18" t="s">
        <v>13</v>
      </c>
      <c r="C10" s="24">
        <f>VLOOKUP(B10,today!C:Q,3,0)</f>
        <v>946</v>
      </c>
      <c r="D10" s="9">
        <f>C10-VLOOKUP(B10,yesterday!C:Q,3,0)</f>
        <v>5</v>
      </c>
      <c r="E10" s="9">
        <f>VLOOKUP(B10,today!C:Q,4,0)</f>
        <v>871</v>
      </c>
      <c r="F10" s="9">
        <f>VLOOKUP(B10,today!C:Q,6,0)</f>
        <v>4</v>
      </c>
      <c r="G10" s="25">
        <f>VLOOKUP(B10,today!C:Q,7,0)</f>
        <v>7</v>
      </c>
      <c r="H10" s="21">
        <f>VLOOKUP(B10,today!C:Q,8,0)</f>
        <v>332</v>
      </c>
      <c r="I10" s="8">
        <f>H10-VLOOKUP(B10,yesterday!C:Q,8,0)</f>
        <v>3</v>
      </c>
      <c r="J10" s="8">
        <f>VLOOKUP(B10,today!C:Q,9,0)</f>
        <v>387</v>
      </c>
      <c r="K10" s="8">
        <f>VLOOKUP(B10,today!C:Q,11,0)</f>
        <v>3</v>
      </c>
      <c r="L10" s="8">
        <f>VLOOKUP(B10,today!C:Q,12,0)</f>
        <v>54</v>
      </c>
      <c r="M10" s="8">
        <f>VLOOKUP(B10,today!C:Q,13,0)</f>
        <v>454</v>
      </c>
      <c r="N10" s="11">
        <f>VLOOKUP(B10,today!C:Q,15,0)</f>
        <v>0</v>
      </c>
    </row>
    <row r="11" spans="2:14" s="7" customFormat="1" ht="20.25" customHeight="1" x14ac:dyDescent="0.25">
      <c r="B11" s="18" t="s">
        <v>14</v>
      </c>
      <c r="C11" s="24">
        <f>VLOOKUP(B11,today!C:Q,3,0)</f>
        <v>1523</v>
      </c>
      <c r="D11" s="9">
        <f>C11-VLOOKUP(B11,yesterday!C:Q,3,0)</f>
        <v>6</v>
      </c>
      <c r="E11" s="9">
        <f>VLOOKUP(B11,today!C:Q,4,0)</f>
        <v>1897</v>
      </c>
      <c r="F11" s="9">
        <f>VLOOKUP(B11,today!C:Q,6,0)</f>
        <v>8</v>
      </c>
      <c r="G11" s="25">
        <f>VLOOKUP(B11,today!C:Q,7,0)</f>
        <v>15</v>
      </c>
      <c r="H11" s="21">
        <f>VLOOKUP(B11,today!C:Q,8,0)</f>
        <v>1617</v>
      </c>
      <c r="I11" s="8">
        <f>H11-VLOOKUP(B11,yesterday!C:Q,8,0)</f>
        <v>13</v>
      </c>
      <c r="J11" s="8">
        <f>VLOOKUP(B11,today!C:Q,9,0)</f>
        <v>2289</v>
      </c>
      <c r="K11" s="8">
        <f>VLOOKUP(B11,today!C:Q,11,0)</f>
        <v>88</v>
      </c>
      <c r="L11" s="8">
        <f>VLOOKUP(B11,today!C:Q,12,0)</f>
        <v>6</v>
      </c>
      <c r="M11" s="8">
        <f>VLOOKUP(B11,today!C:Q,13,0)</f>
        <v>2589</v>
      </c>
      <c r="N11" s="11">
        <f>VLOOKUP(B11,today!C:Q,15,0)</f>
        <v>2</v>
      </c>
    </row>
    <row r="12" spans="2:14" s="7" customFormat="1" ht="20.25" customHeight="1" x14ac:dyDescent="0.25">
      <c r="B12" s="18" t="s">
        <v>15</v>
      </c>
      <c r="C12" s="24">
        <f>VLOOKUP(B12,today!C:Q,3,0)</f>
        <v>2020</v>
      </c>
      <c r="D12" s="9">
        <f>C12-VLOOKUP(B12,yesterday!C:Q,3,0)</f>
        <v>9</v>
      </c>
      <c r="E12" s="9">
        <f>VLOOKUP(B12,today!C:Q,4,0)</f>
        <v>2403</v>
      </c>
      <c r="F12" s="9">
        <f>VLOOKUP(B12,today!C:Q,6,0)</f>
        <v>0</v>
      </c>
      <c r="G12" s="25">
        <f>VLOOKUP(B12,today!C:Q,7,0)</f>
        <v>8</v>
      </c>
      <c r="H12" s="21">
        <f>VLOOKUP(B12,today!C:Q,8,0)</f>
        <v>996</v>
      </c>
      <c r="I12" s="8">
        <f>H12-VLOOKUP(B12,yesterday!C:Q,8,0)</f>
        <v>0</v>
      </c>
      <c r="J12" s="8">
        <f>VLOOKUP(B12,today!C:Q,9,0)</f>
        <v>1079</v>
      </c>
      <c r="K12" s="8">
        <f>VLOOKUP(B12,today!C:Q,11,0)</f>
        <v>1</v>
      </c>
      <c r="L12" s="8">
        <f>VLOOKUP(B12,today!C:Q,12,0)</f>
        <v>1</v>
      </c>
      <c r="M12" s="8">
        <f>VLOOKUP(B12,today!C:Q,13,0)</f>
        <v>1049</v>
      </c>
      <c r="N12" s="11">
        <f>VLOOKUP(B12,today!C:Q,15,0)</f>
        <v>1</v>
      </c>
    </row>
    <row r="13" spans="2:14" s="7" customFormat="1" ht="20.25" customHeight="1" x14ac:dyDescent="0.25">
      <c r="B13" s="18" t="s">
        <v>16</v>
      </c>
      <c r="C13" s="24">
        <f>VLOOKUP(B13,today!C:Q,3,0)</f>
        <v>2082</v>
      </c>
      <c r="D13" s="9">
        <f>C13-VLOOKUP(B13,yesterday!C:Q,3,0)</f>
        <v>9</v>
      </c>
      <c r="E13" s="9">
        <f>VLOOKUP(B13,today!C:Q,4,0)</f>
        <v>2159</v>
      </c>
      <c r="F13" s="9">
        <f>VLOOKUP(B13,today!C:Q,6,0)</f>
        <v>14</v>
      </c>
      <c r="G13" s="25">
        <f>VLOOKUP(B13,today!C:Q,7,0)</f>
        <v>18</v>
      </c>
      <c r="H13" s="21">
        <f>VLOOKUP(B13,today!C:Q,8,0)</f>
        <v>1915</v>
      </c>
      <c r="I13" s="8">
        <f>H13-VLOOKUP(B13,yesterday!C:Q,8,0)</f>
        <v>19</v>
      </c>
      <c r="J13" s="8">
        <f>VLOOKUP(B13,today!C:Q,9,0)</f>
        <v>2699</v>
      </c>
      <c r="K13" s="8">
        <f>VLOOKUP(B13,today!C:Q,11,0)</f>
        <v>25</v>
      </c>
      <c r="L13" s="8">
        <f>VLOOKUP(B13,today!C:Q,12,0)</f>
        <v>207</v>
      </c>
      <c r="M13" s="8">
        <f>VLOOKUP(B13,today!C:Q,13,0)</f>
        <v>3539</v>
      </c>
      <c r="N13" s="11">
        <f>VLOOKUP(B13,today!C:Q,15,0)</f>
        <v>0</v>
      </c>
    </row>
    <row r="14" spans="2:14" s="7" customFormat="1" ht="20.25" customHeight="1" x14ac:dyDescent="0.25">
      <c r="B14" s="18" t="s">
        <v>17</v>
      </c>
      <c r="C14" s="24">
        <f>VLOOKUP(B14,today!C:Q,3,0)</f>
        <v>1399</v>
      </c>
      <c r="D14" s="9">
        <f>C14-VLOOKUP(B14,yesterday!C:Q,3,0)</f>
        <v>2</v>
      </c>
      <c r="E14" s="9">
        <f>VLOOKUP(B14,today!C:Q,4,0)</f>
        <v>1280</v>
      </c>
      <c r="F14" s="9">
        <f>VLOOKUP(B14,today!C:Q,6,0)</f>
        <v>2</v>
      </c>
      <c r="G14" s="25">
        <f>VLOOKUP(B14,today!C:Q,7,0)</f>
        <v>9</v>
      </c>
      <c r="H14" s="21">
        <f>VLOOKUP(B14,today!C:Q,8,0)</f>
        <v>1674</v>
      </c>
      <c r="I14" s="8">
        <f>H14-VLOOKUP(B14,yesterday!C:Q,8,0)</f>
        <v>17</v>
      </c>
      <c r="J14" s="8">
        <f>VLOOKUP(B14,today!C:Q,9,0)</f>
        <v>2200</v>
      </c>
      <c r="K14" s="8">
        <f>VLOOKUP(B14,today!C:Q,11,0)</f>
        <v>22</v>
      </c>
      <c r="L14" s="8">
        <f>VLOOKUP(B14,today!C:Q,12,0)</f>
        <v>4</v>
      </c>
      <c r="M14" s="8">
        <f>VLOOKUP(B14,today!C:Q,13,0)</f>
        <v>3094</v>
      </c>
      <c r="N14" s="11">
        <f>VLOOKUP(B14,today!C:Q,15,0)</f>
        <v>96</v>
      </c>
    </row>
    <row r="15" spans="2:14" s="7" customFormat="1" ht="20.25" customHeight="1" x14ac:dyDescent="0.25">
      <c r="B15" s="18" t="s">
        <v>18</v>
      </c>
      <c r="C15" s="24">
        <f>VLOOKUP(B15,today!C:Q,3,0)</f>
        <v>849</v>
      </c>
      <c r="D15" s="9">
        <f>C15-VLOOKUP(B15,yesterday!C:Q,3,0)</f>
        <v>2</v>
      </c>
      <c r="E15" s="9">
        <f>VLOOKUP(B15,today!C:Q,4,0)</f>
        <v>779</v>
      </c>
      <c r="F15" s="9">
        <f>VLOOKUP(B15,today!C:Q,6,0)</f>
        <v>2</v>
      </c>
      <c r="G15" s="25">
        <f>VLOOKUP(B15,today!C:Q,7,0)</f>
        <v>4</v>
      </c>
      <c r="H15" s="21">
        <f>VLOOKUP(B15,today!C:Q,8,0)</f>
        <v>374</v>
      </c>
      <c r="I15" s="8">
        <f>H15-VLOOKUP(B15,yesterday!C:Q,8,0)</f>
        <v>8</v>
      </c>
      <c r="J15" s="8">
        <f>VLOOKUP(B15,today!C:Q,9,0)</f>
        <v>401</v>
      </c>
      <c r="K15" s="8">
        <f>VLOOKUP(B15,today!C:Q,11,0)</f>
        <v>3</v>
      </c>
      <c r="L15" s="8">
        <f>VLOOKUP(B15,today!C:Q,12,0)</f>
        <v>10</v>
      </c>
      <c r="M15" s="8">
        <f>VLOOKUP(B15,today!C:Q,13,0)</f>
        <v>1138</v>
      </c>
      <c r="N15" s="11">
        <f>VLOOKUP(B15,today!C:Q,15,0)</f>
        <v>139</v>
      </c>
    </row>
    <row r="16" spans="2:14" s="7" customFormat="1" ht="20.25" customHeight="1" x14ac:dyDescent="0.25">
      <c r="B16" s="18" t="s">
        <v>19</v>
      </c>
      <c r="C16" s="24">
        <f>VLOOKUP(B16,today!C:Q,3,0)</f>
        <v>2647</v>
      </c>
      <c r="D16" s="9">
        <f>C16-VLOOKUP(B16,yesterday!C:Q,3,0)</f>
        <v>8</v>
      </c>
      <c r="E16" s="9">
        <f>VLOOKUP(B16,today!C:Q,4,0)</f>
        <v>4353</v>
      </c>
      <c r="F16" s="9">
        <f>VLOOKUP(B16,today!C:Q,6,0)</f>
        <v>10</v>
      </c>
      <c r="G16" s="25">
        <f>VLOOKUP(B16,today!C:Q,7,0)</f>
        <v>38</v>
      </c>
      <c r="H16" s="21">
        <f>VLOOKUP(B16,today!C:Q,8,0)</f>
        <v>1841</v>
      </c>
      <c r="I16" s="8">
        <f>H16-VLOOKUP(B16,yesterday!C:Q,8,0)</f>
        <v>34</v>
      </c>
      <c r="J16" s="8">
        <f>VLOOKUP(B16,today!C:Q,9,0)</f>
        <v>2596</v>
      </c>
      <c r="K16" s="8">
        <f>VLOOKUP(B16,today!C:Q,11,0)</f>
        <v>44</v>
      </c>
      <c r="L16" s="8">
        <f>VLOOKUP(B16,today!C:Q,12,0)</f>
        <v>33</v>
      </c>
      <c r="M16" s="8">
        <f>VLOOKUP(B16,today!C:Q,13,0)</f>
        <v>2674</v>
      </c>
      <c r="N16" s="11">
        <f>VLOOKUP(B16,today!C:Q,15,0)</f>
        <v>27</v>
      </c>
    </row>
    <row r="17" spans="2:14" ht="19.5" thickBot="1" x14ac:dyDescent="0.35">
      <c r="B17" s="19" t="s">
        <v>22</v>
      </c>
      <c r="C17" s="26">
        <f>SUM(C5:C16)</f>
        <v>24441</v>
      </c>
      <c r="D17" s="27">
        <f t="shared" ref="D17:N17" si="0">SUM(D5:D16)</f>
        <v>-23277</v>
      </c>
      <c r="E17" s="27">
        <f t="shared" si="0"/>
        <v>15709</v>
      </c>
      <c r="F17" s="27">
        <f t="shared" si="0"/>
        <v>257</v>
      </c>
      <c r="G17" s="28">
        <f t="shared" si="0"/>
        <v>641</v>
      </c>
      <c r="H17" s="22">
        <f t="shared" si="0"/>
        <v>39976</v>
      </c>
      <c r="I17" s="12">
        <f t="shared" si="0"/>
        <v>-115419</v>
      </c>
      <c r="J17" s="12">
        <f t="shared" si="0"/>
        <v>180069</v>
      </c>
      <c r="K17" s="12">
        <f t="shared" si="0"/>
        <v>486</v>
      </c>
      <c r="L17" s="12">
        <f t="shared" si="0"/>
        <v>11666</v>
      </c>
      <c r="M17" s="12">
        <f t="shared" si="0"/>
        <v>69811</v>
      </c>
      <c r="N17" s="13">
        <f t="shared" si="0"/>
        <v>660</v>
      </c>
    </row>
    <row r="18" spans="2:14" ht="15.75" thickTop="1" x14ac:dyDescent="0.25"/>
    <row r="24" spans="2:14" ht="15.75" thickBot="1" x14ac:dyDescent="0.3"/>
    <row r="25" spans="2:14" ht="15.75" thickBot="1" x14ac:dyDescent="0.3">
      <c r="K25" s="10"/>
    </row>
  </sheetData>
  <mergeCells count="10">
    <mergeCell ref="L3:L4"/>
    <mergeCell ref="M3:N3"/>
    <mergeCell ref="C2:G2"/>
    <mergeCell ref="H2:N2"/>
    <mergeCell ref="B2:B4"/>
    <mergeCell ref="C3:D3"/>
    <mergeCell ref="E3:F3"/>
    <mergeCell ref="G3:G4"/>
    <mergeCell ref="H3:I3"/>
    <mergeCell ref="J3:K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FF90-4459-4009-90F6-44E6DCC39433}">
  <dimension ref="A1:Q51"/>
  <sheetViews>
    <sheetView tabSelected="1" topLeftCell="A31" workbookViewId="0">
      <selection activeCell="P42" sqref="P42:P43"/>
    </sheetView>
  </sheetViews>
  <sheetFormatPr defaultRowHeight="15" x14ac:dyDescent="0.25"/>
  <sheetData>
    <row r="1" spans="1:17" x14ac:dyDescent="0.25">
      <c r="A1" s="17" t="s">
        <v>25</v>
      </c>
      <c r="B1" s="17" t="s">
        <v>26</v>
      </c>
      <c r="C1" s="17" t="s">
        <v>0</v>
      </c>
      <c r="D1" s="17" t="s">
        <v>27</v>
      </c>
      <c r="E1" s="1" t="s">
        <v>28</v>
      </c>
      <c r="F1" s="2" t="s">
        <v>2</v>
      </c>
      <c r="G1" s="2" t="s">
        <v>29</v>
      </c>
      <c r="H1" s="2" t="s">
        <v>6</v>
      </c>
      <c r="I1" s="2" t="s">
        <v>3</v>
      </c>
      <c r="J1" s="1" t="s">
        <v>28</v>
      </c>
      <c r="K1" s="2" t="s">
        <v>2</v>
      </c>
      <c r="L1" s="2" t="s">
        <v>29</v>
      </c>
      <c r="M1" s="2" t="s">
        <v>6</v>
      </c>
      <c r="N1" s="2" t="s">
        <v>3</v>
      </c>
      <c r="O1" s="2" t="s">
        <v>30</v>
      </c>
      <c r="P1" s="2" t="s">
        <v>31</v>
      </c>
      <c r="Q1" s="2" t="s">
        <v>32</v>
      </c>
    </row>
    <row r="2" spans="1:17" x14ac:dyDescent="0.25">
      <c r="A2" s="3" t="s">
        <v>33</v>
      </c>
      <c r="B2" s="3" t="s">
        <v>34</v>
      </c>
      <c r="C2" s="3" t="s">
        <v>35</v>
      </c>
      <c r="D2" s="3" t="s">
        <v>36</v>
      </c>
      <c r="E2" s="4">
        <v>8957</v>
      </c>
      <c r="F2" s="4">
        <v>8544</v>
      </c>
      <c r="G2" s="4">
        <v>398</v>
      </c>
      <c r="H2" s="4">
        <v>57</v>
      </c>
      <c r="I2" s="4">
        <v>172</v>
      </c>
      <c r="J2" s="5">
        <v>42267</v>
      </c>
      <c r="K2" s="5">
        <v>55092</v>
      </c>
      <c r="L2" s="5">
        <v>2630</v>
      </c>
      <c r="M2" s="5">
        <v>505</v>
      </c>
      <c r="N2" s="5">
        <v>10713</v>
      </c>
      <c r="O2" s="4">
        <v>75034</v>
      </c>
      <c r="P2" s="4">
        <v>3452</v>
      </c>
      <c r="Q2" s="4">
        <v>527</v>
      </c>
    </row>
    <row r="3" spans="1:17" x14ac:dyDescent="0.25">
      <c r="A3" s="3" t="s">
        <v>33</v>
      </c>
      <c r="B3" s="3" t="s">
        <v>34</v>
      </c>
      <c r="C3" s="3" t="s">
        <v>37</v>
      </c>
      <c r="D3" s="3" t="s">
        <v>36</v>
      </c>
      <c r="E3" s="4">
        <v>3762</v>
      </c>
      <c r="F3" s="4">
        <v>3471</v>
      </c>
      <c r="G3" s="4">
        <v>128</v>
      </c>
      <c r="H3" s="4">
        <v>22</v>
      </c>
      <c r="I3" s="4">
        <v>37</v>
      </c>
      <c r="J3" s="5">
        <v>5546</v>
      </c>
      <c r="K3" s="5">
        <v>6578</v>
      </c>
      <c r="L3" s="5">
        <v>149</v>
      </c>
      <c r="M3" s="5">
        <v>54</v>
      </c>
      <c r="N3" s="5">
        <v>155</v>
      </c>
      <c r="O3" s="4">
        <v>10461</v>
      </c>
      <c r="P3" s="4">
        <v>155</v>
      </c>
      <c r="Q3" s="4">
        <v>0</v>
      </c>
    </row>
    <row r="4" spans="1:17" x14ac:dyDescent="0.25">
      <c r="A4" s="3" t="s">
        <v>33</v>
      </c>
      <c r="B4" s="3" t="s">
        <v>34</v>
      </c>
      <c r="C4" s="3" t="s">
        <v>38</v>
      </c>
      <c r="D4" s="3" t="s">
        <v>36</v>
      </c>
      <c r="E4" s="4">
        <v>5736</v>
      </c>
      <c r="F4" s="4">
        <v>5510</v>
      </c>
      <c r="G4" s="4">
        <v>161</v>
      </c>
      <c r="H4" s="4">
        <v>17</v>
      </c>
      <c r="I4" s="4">
        <v>68</v>
      </c>
      <c r="J4" s="5">
        <v>28894</v>
      </c>
      <c r="K4" s="5">
        <v>31938</v>
      </c>
      <c r="L4" s="5">
        <v>353</v>
      </c>
      <c r="M4" s="5">
        <v>94</v>
      </c>
      <c r="N4" s="5">
        <v>1211</v>
      </c>
      <c r="O4" s="4">
        <v>38473</v>
      </c>
      <c r="P4" s="4">
        <v>130</v>
      </c>
      <c r="Q4" s="4">
        <v>14</v>
      </c>
    </row>
    <row r="5" spans="1:17" x14ac:dyDescent="0.25">
      <c r="A5" s="3" t="s">
        <v>33</v>
      </c>
      <c r="B5" s="3" t="s">
        <v>39</v>
      </c>
      <c r="C5" s="3" t="s">
        <v>40</v>
      </c>
      <c r="D5" s="3" t="s">
        <v>36</v>
      </c>
      <c r="E5" s="4">
        <v>478</v>
      </c>
      <c r="F5" s="4">
        <v>424</v>
      </c>
      <c r="G5" s="4">
        <v>10</v>
      </c>
      <c r="H5" s="4">
        <v>2</v>
      </c>
      <c r="I5" s="4">
        <v>2</v>
      </c>
      <c r="J5" s="5">
        <v>4935</v>
      </c>
      <c r="K5" s="5">
        <v>5888</v>
      </c>
      <c r="L5" s="5">
        <v>28</v>
      </c>
      <c r="M5" s="5">
        <v>8</v>
      </c>
      <c r="N5" s="5">
        <v>10</v>
      </c>
      <c r="O5" s="4">
        <v>6233</v>
      </c>
      <c r="P5" s="4">
        <v>1</v>
      </c>
      <c r="Q5" s="4">
        <v>1</v>
      </c>
    </row>
    <row r="6" spans="1:17" x14ac:dyDescent="0.25">
      <c r="A6" s="3" t="s">
        <v>33</v>
      </c>
      <c r="B6" s="3" t="s">
        <v>39</v>
      </c>
      <c r="C6" s="3" t="s">
        <v>41</v>
      </c>
      <c r="D6" s="3" t="s">
        <v>36</v>
      </c>
      <c r="E6" s="4">
        <v>4755</v>
      </c>
      <c r="F6" s="4">
        <v>4539</v>
      </c>
      <c r="G6" s="4">
        <v>161</v>
      </c>
      <c r="H6" s="4">
        <v>30</v>
      </c>
      <c r="I6" s="4">
        <v>57</v>
      </c>
      <c r="J6" s="5">
        <v>19111</v>
      </c>
      <c r="K6" s="5">
        <v>22653</v>
      </c>
      <c r="L6" s="5">
        <v>1088</v>
      </c>
      <c r="M6" s="5">
        <v>199</v>
      </c>
      <c r="N6" s="5">
        <v>296</v>
      </c>
      <c r="O6" s="4">
        <v>27112</v>
      </c>
      <c r="P6" s="4">
        <v>481</v>
      </c>
      <c r="Q6" s="4">
        <v>466</v>
      </c>
    </row>
    <row r="7" spans="1:17" x14ac:dyDescent="0.25">
      <c r="A7" s="3" t="s">
        <v>33</v>
      </c>
      <c r="B7" s="3" t="s">
        <v>39</v>
      </c>
      <c r="C7" s="3" t="s">
        <v>42</v>
      </c>
      <c r="D7" s="3" t="s">
        <v>36</v>
      </c>
      <c r="E7" s="4">
        <v>2485</v>
      </c>
      <c r="F7" s="4">
        <v>2452</v>
      </c>
      <c r="G7" s="4">
        <v>115</v>
      </c>
      <c r="H7" s="4">
        <v>18</v>
      </c>
      <c r="I7" s="4">
        <v>19</v>
      </c>
      <c r="J7" s="5">
        <v>23686</v>
      </c>
      <c r="K7" s="5">
        <v>28828</v>
      </c>
      <c r="L7" s="5">
        <v>490</v>
      </c>
      <c r="M7" s="5">
        <v>115</v>
      </c>
      <c r="N7" s="5">
        <v>336</v>
      </c>
      <c r="O7" s="4">
        <v>31549</v>
      </c>
      <c r="P7" s="4">
        <v>444</v>
      </c>
      <c r="Q7" s="4">
        <v>7</v>
      </c>
    </row>
    <row r="8" spans="1:17" x14ac:dyDescent="0.25">
      <c r="A8" s="3" t="s">
        <v>33</v>
      </c>
      <c r="B8" s="3" t="s">
        <v>39</v>
      </c>
      <c r="C8" s="3" t="s">
        <v>43</v>
      </c>
      <c r="D8" s="3" t="s">
        <v>36</v>
      </c>
      <c r="E8" s="4">
        <v>4607</v>
      </c>
      <c r="F8" s="4">
        <v>4731</v>
      </c>
      <c r="G8" s="4">
        <v>191</v>
      </c>
      <c r="H8" s="4">
        <v>23</v>
      </c>
      <c r="I8" s="4">
        <v>74</v>
      </c>
      <c r="J8" s="5">
        <v>13963</v>
      </c>
      <c r="K8" s="5">
        <v>18134</v>
      </c>
      <c r="L8" s="5">
        <v>859</v>
      </c>
      <c r="M8" s="5">
        <v>174</v>
      </c>
      <c r="N8" s="5">
        <v>3091</v>
      </c>
      <c r="O8" s="4">
        <v>22647</v>
      </c>
      <c r="P8" s="4">
        <v>453</v>
      </c>
      <c r="Q8" s="4">
        <v>115</v>
      </c>
    </row>
    <row r="9" spans="1:17" x14ac:dyDescent="0.25">
      <c r="A9" s="3" t="s">
        <v>33</v>
      </c>
      <c r="B9" s="3" t="s">
        <v>44</v>
      </c>
      <c r="C9" s="3" t="s">
        <v>45</v>
      </c>
      <c r="D9" s="3" t="s">
        <v>36</v>
      </c>
      <c r="E9" s="4">
        <v>25178</v>
      </c>
      <c r="F9" s="4">
        <v>22722</v>
      </c>
      <c r="G9" s="4">
        <v>709</v>
      </c>
      <c r="H9" s="4">
        <v>98</v>
      </c>
      <c r="I9" s="4">
        <v>469</v>
      </c>
      <c r="J9" s="5">
        <v>22883</v>
      </c>
      <c r="K9" s="5">
        <v>26137</v>
      </c>
      <c r="L9" s="5">
        <v>1373</v>
      </c>
      <c r="M9" s="5">
        <v>266</v>
      </c>
      <c r="N9" s="5">
        <v>1195</v>
      </c>
      <c r="O9" s="4">
        <v>39897</v>
      </c>
      <c r="P9" s="4">
        <v>2184</v>
      </c>
      <c r="Q9" s="4">
        <v>17</v>
      </c>
    </row>
    <row r="10" spans="1:17" x14ac:dyDescent="0.25">
      <c r="A10" s="3" t="s">
        <v>33</v>
      </c>
      <c r="B10" s="3" t="s">
        <v>44</v>
      </c>
      <c r="C10" s="3" t="s">
        <v>46</v>
      </c>
      <c r="D10" s="3" t="s">
        <v>36</v>
      </c>
      <c r="E10" s="4">
        <v>1620</v>
      </c>
      <c r="F10" s="4">
        <v>1524</v>
      </c>
      <c r="G10" s="4">
        <v>43</v>
      </c>
      <c r="H10" s="4">
        <v>5</v>
      </c>
      <c r="I10" s="4">
        <v>5</v>
      </c>
      <c r="J10" s="5">
        <v>18</v>
      </c>
      <c r="K10" s="5">
        <v>24</v>
      </c>
      <c r="L10" s="5">
        <v>1</v>
      </c>
      <c r="M10" s="5">
        <v>0</v>
      </c>
      <c r="N10" s="5">
        <v>1</v>
      </c>
      <c r="O10" s="4">
        <v>28</v>
      </c>
      <c r="P10" s="4">
        <v>0</v>
      </c>
      <c r="Q10" s="4">
        <v>0</v>
      </c>
    </row>
    <row r="11" spans="1:17" x14ac:dyDescent="0.25">
      <c r="A11" s="3" t="s">
        <v>33</v>
      </c>
      <c r="B11" s="3" t="s">
        <v>44</v>
      </c>
      <c r="C11" s="3" t="s">
        <v>47</v>
      </c>
      <c r="D11" s="3" t="s">
        <v>36</v>
      </c>
      <c r="E11" s="4">
        <v>15578</v>
      </c>
      <c r="F11" s="4">
        <v>14851</v>
      </c>
      <c r="G11" s="4">
        <v>404</v>
      </c>
      <c r="H11" s="4">
        <v>64</v>
      </c>
      <c r="I11" s="4">
        <v>110</v>
      </c>
      <c r="J11" s="5">
        <v>18815</v>
      </c>
      <c r="K11" s="5">
        <v>19054</v>
      </c>
      <c r="L11" s="5">
        <v>269</v>
      </c>
      <c r="M11" s="5">
        <v>31</v>
      </c>
      <c r="N11" s="5">
        <v>36</v>
      </c>
      <c r="O11" s="4">
        <v>22716</v>
      </c>
      <c r="P11" s="4">
        <v>17</v>
      </c>
      <c r="Q11" s="4">
        <v>2</v>
      </c>
    </row>
    <row r="12" spans="1:17" x14ac:dyDescent="0.25">
      <c r="A12" s="3" t="s">
        <v>33</v>
      </c>
      <c r="B12" s="3" t="s">
        <v>44</v>
      </c>
      <c r="C12" s="3" t="s">
        <v>48</v>
      </c>
      <c r="D12" s="3" t="s">
        <v>36</v>
      </c>
      <c r="E12" s="4">
        <v>19070</v>
      </c>
      <c r="F12" s="4">
        <v>15321</v>
      </c>
      <c r="G12" s="4">
        <v>504</v>
      </c>
      <c r="H12" s="4">
        <v>47</v>
      </c>
      <c r="I12" s="4">
        <v>910</v>
      </c>
      <c r="J12" s="5">
        <v>11954</v>
      </c>
      <c r="K12" s="5">
        <v>15141</v>
      </c>
      <c r="L12" s="5">
        <v>814</v>
      </c>
      <c r="M12" s="5">
        <v>102</v>
      </c>
      <c r="N12" s="5">
        <v>1239</v>
      </c>
      <c r="O12" s="4">
        <v>19670</v>
      </c>
      <c r="P12" s="4">
        <v>650</v>
      </c>
      <c r="Q12" s="4">
        <v>3</v>
      </c>
    </row>
    <row r="13" spans="1:17" x14ac:dyDescent="0.25">
      <c r="A13" s="3" t="s">
        <v>49</v>
      </c>
      <c r="B13" s="3" t="s">
        <v>50</v>
      </c>
      <c r="C13" s="3" t="s">
        <v>51</v>
      </c>
      <c r="D13" s="3" t="s">
        <v>36</v>
      </c>
      <c r="E13" s="4">
        <v>4483</v>
      </c>
      <c r="F13" s="4">
        <v>4494</v>
      </c>
      <c r="G13" s="4">
        <v>222</v>
      </c>
      <c r="H13" s="4">
        <v>34</v>
      </c>
      <c r="I13" s="4">
        <v>60</v>
      </c>
      <c r="J13" s="5">
        <v>56971</v>
      </c>
      <c r="K13" s="5">
        <v>75155</v>
      </c>
      <c r="L13" s="5">
        <v>2919</v>
      </c>
      <c r="M13" s="5">
        <v>846</v>
      </c>
      <c r="N13" s="5">
        <v>11292</v>
      </c>
      <c r="O13" s="4">
        <v>99789</v>
      </c>
      <c r="P13" s="4">
        <v>835</v>
      </c>
      <c r="Q13" s="4">
        <v>193</v>
      </c>
    </row>
    <row r="14" spans="1:17" x14ac:dyDescent="0.25">
      <c r="A14" s="3" t="s">
        <v>49</v>
      </c>
      <c r="B14" s="3" t="s">
        <v>50</v>
      </c>
      <c r="C14" s="3" t="s">
        <v>52</v>
      </c>
      <c r="D14" s="3" t="s">
        <v>36</v>
      </c>
      <c r="E14" s="4">
        <v>6228</v>
      </c>
      <c r="F14" s="4">
        <v>6236</v>
      </c>
      <c r="G14" s="4">
        <v>344</v>
      </c>
      <c r="H14" s="4">
        <v>46</v>
      </c>
      <c r="I14" s="4">
        <v>109</v>
      </c>
      <c r="J14" s="5">
        <v>28941</v>
      </c>
      <c r="K14" s="5">
        <v>34789</v>
      </c>
      <c r="L14" s="5">
        <v>1231</v>
      </c>
      <c r="M14" s="5">
        <v>218</v>
      </c>
      <c r="N14" s="5">
        <v>1476</v>
      </c>
      <c r="O14" s="4">
        <v>42468</v>
      </c>
      <c r="P14" s="4">
        <v>1153</v>
      </c>
      <c r="Q14" s="4">
        <v>289</v>
      </c>
    </row>
    <row r="15" spans="1:17" x14ac:dyDescent="0.25">
      <c r="A15" s="3" t="s">
        <v>49</v>
      </c>
      <c r="B15" s="3" t="s">
        <v>50</v>
      </c>
      <c r="C15" s="3" t="s">
        <v>53</v>
      </c>
      <c r="D15" s="3" t="s">
        <v>36</v>
      </c>
      <c r="E15" s="4">
        <v>1993</v>
      </c>
      <c r="F15" s="4">
        <v>2032</v>
      </c>
      <c r="G15" s="4">
        <v>143</v>
      </c>
      <c r="H15" s="4">
        <v>24</v>
      </c>
      <c r="I15" s="4">
        <v>29</v>
      </c>
      <c r="J15" s="5">
        <v>10373</v>
      </c>
      <c r="K15" s="5">
        <v>13156</v>
      </c>
      <c r="L15" s="5">
        <v>582</v>
      </c>
      <c r="M15" s="5">
        <v>144</v>
      </c>
      <c r="N15" s="5">
        <v>1797</v>
      </c>
      <c r="O15" s="4">
        <v>15642</v>
      </c>
      <c r="P15" s="4">
        <v>222</v>
      </c>
      <c r="Q15" s="4">
        <v>108</v>
      </c>
    </row>
    <row r="16" spans="1:17" x14ac:dyDescent="0.25">
      <c r="A16" s="3" t="s">
        <v>49</v>
      </c>
      <c r="B16" s="3" t="s">
        <v>54</v>
      </c>
      <c r="C16" s="3" t="s">
        <v>55</v>
      </c>
      <c r="D16" s="3" t="s">
        <v>36</v>
      </c>
      <c r="E16" s="4">
        <v>18862</v>
      </c>
      <c r="F16" s="4">
        <v>16374</v>
      </c>
      <c r="G16" s="4">
        <v>448</v>
      </c>
      <c r="H16" s="4">
        <v>59</v>
      </c>
      <c r="I16" s="4">
        <v>172</v>
      </c>
      <c r="J16" s="5">
        <v>11118</v>
      </c>
      <c r="K16" s="5">
        <v>11965</v>
      </c>
      <c r="L16" s="5">
        <v>178</v>
      </c>
      <c r="M16" s="5">
        <v>42</v>
      </c>
      <c r="N16" s="5">
        <v>104</v>
      </c>
      <c r="O16" s="4">
        <v>19019</v>
      </c>
      <c r="P16" s="4">
        <v>1743</v>
      </c>
      <c r="Q16" s="4">
        <v>195</v>
      </c>
    </row>
    <row r="17" spans="1:17" x14ac:dyDescent="0.25">
      <c r="A17" s="3" t="s">
        <v>49</v>
      </c>
      <c r="B17" s="3" t="s">
        <v>54</v>
      </c>
      <c r="C17" s="3" t="s">
        <v>56</v>
      </c>
      <c r="D17" s="3" t="s">
        <v>36</v>
      </c>
      <c r="E17" s="4">
        <v>31683</v>
      </c>
      <c r="F17" s="4">
        <v>30546</v>
      </c>
      <c r="G17" s="4">
        <v>842</v>
      </c>
      <c r="H17" s="4">
        <v>105</v>
      </c>
      <c r="I17" s="4">
        <v>257</v>
      </c>
      <c r="J17" s="5">
        <v>85038</v>
      </c>
      <c r="K17" s="5">
        <v>93381</v>
      </c>
      <c r="L17" s="5">
        <v>1085</v>
      </c>
      <c r="M17" s="5">
        <v>408</v>
      </c>
      <c r="N17" s="5">
        <v>2116</v>
      </c>
      <c r="O17" s="4">
        <v>113596</v>
      </c>
      <c r="P17" s="4">
        <v>4677</v>
      </c>
      <c r="Q17" s="4">
        <v>88</v>
      </c>
    </row>
    <row r="18" spans="1:17" x14ac:dyDescent="0.25">
      <c r="A18" s="3" t="s">
        <v>49</v>
      </c>
      <c r="B18" s="3" t="s">
        <v>54</v>
      </c>
      <c r="C18" s="3" t="s">
        <v>57</v>
      </c>
      <c r="D18" s="3" t="s">
        <v>36</v>
      </c>
      <c r="E18" s="4">
        <v>21973</v>
      </c>
      <c r="F18" s="4">
        <v>20714</v>
      </c>
      <c r="G18" s="4">
        <v>676</v>
      </c>
      <c r="H18" s="4">
        <v>71</v>
      </c>
      <c r="I18" s="4">
        <v>257</v>
      </c>
      <c r="J18" s="5">
        <v>11845</v>
      </c>
      <c r="K18" s="5">
        <v>16540</v>
      </c>
      <c r="L18" s="5">
        <v>1677</v>
      </c>
      <c r="M18" s="5">
        <v>335</v>
      </c>
      <c r="N18" s="5">
        <v>8124</v>
      </c>
      <c r="O18" s="4">
        <v>27189</v>
      </c>
      <c r="P18" s="4">
        <v>716</v>
      </c>
      <c r="Q18" s="4">
        <v>342</v>
      </c>
    </row>
    <row r="19" spans="1:17" x14ac:dyDescent="0.25">
      <c r="A19" s="3" t="s">
        <v>49</v>
      </c>
      <c r="B19" s="3" t="s">
        <v>58</v>
      </c>
      <c r="C19" s="3" t="s">
        <v>59</v>
      </c>
      <c r="D19" s="3" t="s">
        <v>36</v>
      </c>
      <c r="E19" s="4">
        <v>967</v>
      </c>
      <c r="F19" s="4">
        <v>1661</v>
      </c>
      <c r="G19" s="4">
        <v>33</v>
      </c>
      <c r="H19" s="4">
        <v>4</v>
      </c>
      <c r="I19" s="4">
        <v>11</v>
      </c>
      <c r="J19" s="5">
        <v>19</v>
      </c>
      <c r="K19" s="5">
        <v>22</v>
      </c>
      <c r="L19" s="5">
        <v>1</v>
      </c>
      <c r="M19" s="5">
        <v>0</v>
      </c>
      <c r="N19" s="5">
        <v>0</v>
      </c>
      <c r="O19" s="4">
        <v>207</v>
      </c>
      <c r="P19" s="4">
        <v>182</v>
      </c>
      <c r="Q19" s="4">
        <v>0</v>
      </c>
    </row>
    <row r="20" spans="1:17" x14ac:dyDescent="0.25">
      <c r="A20" s="3" t="s">
        <v>49</v>
      </c>
      <c r="B20" s="3" t="s">
        <v>58</v>
      </c>
      <c r="C20" s="3" t="s">
        <v>60</v>
      </c>
      <c r="D20" s="3" t="s">
        <v>36</v>
      </c>
      <c r="E20" s="4">
        <v>318</v>
      </c>
      <c r="F20" s="4">
        <v>1110</v>
      </c>
      <c r="G20" s="4">
        <v>39</v>
      </c>
      <c r="H20" s="4">
        <v>6</v>
      </c>
      <c r="I20" s="4">
        <v>9</v>
      </c>
      <c r="J20" s="5">
        <v>284</v>
      </c>
      <c r="K20" s="5">
        <v>525</v>
      </c>
      <c r="L20" s="5">
        <v>67</v>
      </c>
      <c r="M20" s="5">
        <v>16</v>
      </c>
      <c r="N20" s="5">
        <v>13</v>
      </c>
      <c r="O20" s="4">
        <v>794</v>
      </c>
      <c r="P20" s="4">
        <v>149</v>
      </c>
      <c r="Q20" s="4">
        <v>22</v>
      </c>
    </row>
    <row r="21" spans="1:17" x14ac:dyDescent="0.25">
      <c r="A21" s="3" t="s">
        <v>49</v>
      </c>
      <c r="B21" s="3" t="s">
        <v>58</v>
      </c>
      <c r="C21" s="3" t="s">
        <v>61</v>
      </c>
      <c r="D21" s="3" t="s">
        <v>36</v>
      </c>
      <c r="E21" s="4">
        <v>983</v>
      </c>
      <c r="F21" s="4">
        <v>1344</v>
      </c>
      <c r="G21" s="4">
        <v>46</v>
      </c>
      <c r="H21" s="4">
        <v>5</v>
      </c>
      <c r="I21" s="4">
        <v>12</v>
      </c>
      <c r="J21" s="5">
        <v>1564</v>
      </c>
      <c r="K21" s="5">
        <v>1959</v>
      </c>
      <c r="L21" s="5">
        <v>97</v>
      </c>
      <c r="M21" s="5">
        <v>37</v>
      </c>
      <c r="N21" s="5">
        <v>28</v>
      </c>
      <c r="O21" s="4">
        <v>2097</v>
      </c>
      <c r="P21" s="4">
        <v>3</v>
      </c>
      <c r="Q21" s="4">
        <v>0</v>
      </c>
    </row>
    <row r="22" spans="1:17" x14ac:dyDescent="0.25">
      <c r="A22" s="3" t="s">
        <v>49</v>
      </c>
      <c r="B22" s="3" t="s">
        <v>62</v>
      </c>
      <c r="C22" s="3" t="s">
        <v>63</v>
      </c>
      <c r="D22" s="3" t="s">
        <v>36</v>
      </c>
      <c r="E22" s="4">
        <v>1345</v>
      </c>
      <c r="F22" s="4">
        <v>1887</v>
      </c>
      <c r="G22" s="4">
        <v>55</v>
      </c>
      <c r="H22" s="4">
        <v>7</v>
      </c>
      <c r="I22" s="4">
        <v>10</v>
      </c>
      <c r="J22" s="5">
        <v>231</v>
      </c>
      <c r="K22" s="5">
        <v>289</v>
      </c>
      <c r="L22" s="5">
        <v>17</v>
      </c>
      <c r="M22" s="5">
        <v>2</v>
      </c>
      <c r="N22" s="5">
        <v>3</v>
      </c>
      <c r="O22" s="4">
        <v>368</v>
      </c>
      <c r="P22" s="4">
        <v>24</v>
      </c>
      <c r="Q22" s="4">
        <v>22</v>
      </c>
    </row>
    <row r="23" spans="1:17" x14ac:dyDescent="0.25">
      <c r="A23" s="3" t="s">
        <v>49</v>
      </c>
      <c r="B23" s="3" t="s">
        <v>62</v>
      </c>
      <c r="C23" s="3" t="s">
        <v>64</v>
      </c>
      <c r="D23" s="3" t="s">
        <v>36</v>
      </c>
      <c r="E23" s="4">
        <v>1445</v>
      </c>
      <c r="F23" s="4">
        <v>2677</v>
      </c>
      <c r="G23" s="4">
        <v>94</v>
      </c>
      <c r="H23" s="4">
        <v>16</v>
      </c>
      <c r="I23" s="4">
        <v>23</v>
      </c>
      <c r="J23" s="5">
        <v>4538</v>
      </c>
      <c r="K23" s="5">
        <v>5625</v>
      </c>
      <c r="L23" s="5">
        <v>155</v>
      </c>
      <c r="M23" s="5">
        <v>38</v>
      </c>
      <c r="N23" s="5">
        <v>73</v>
      </c>
      <c r="O23" s="4">
        <v>6412</v>
      </c>
      <c r="P23" s="4">
        <v>3</v>
      </c>
      <c r="Q23" s="4">
        <v>0</v>
      </c>
    </row>
    <row r="24" spans="1:17" x14ac:dyDescent="0.25">
      <c r="A24" s="3" t="s">
        <v>49</v>
      </c>
      <c r="B24" s="3" t="s">
        <v>62</v>
      </c>
      <c r="C24" s="3" t="s">
        <v>65</v>
      </c>
      <c r="D24" s="3" t="s">
        <v>36</v>
      </c>
      <c r="E24" s="4">
        <v>2304</v>
      </c>
      <c r="F24" s="4">
        <v>3056</v>
      </c>
      <c r="G24" s="4">
        <v>89</v>
      </c>
      <c r="H24" s="4">
        <v>13</v>
      </c>
      <c r="I24" s="4">
        <v>19</v>
      </c>
      <c r="J24" s="5">
        <v>5039</v>
      </c>
      <c r="K24" s="5">
        <v>7028</v>
      </c>
      <c r="L24" s="5">
        <v>200</v>
      </c>
      <c r="M24" s="5">
        <v>63</v>
      </c>
      <c r="N24" s="5">
        <v>141</v>
      </c>
      <c r="O24" s="4">
        <v>8417</v>
      </c>
      <c r="P24" s="4">
        <v>101</v>
      </c>
      <c r="Q24" s="4">
        <v>1</v>
      </c>
    </row>
    <row r="25" spans="1:17" x14ac:dyDescent="0.25">
      <c r="A25" s="3" t="s">
        <v>49</v>
      </c>
      <c r="B25" s="3" t="s">
        <v>66</v>
      </c>
      <c r="C25" s="3" t="s">
        <v>67</v>
      </c>
      <c r="D25" s="3" t="s">
        <v>36</v>
      </c>
      <c r="E25" s="4">
        <v>62</v>
      </c>
      <c r="F25" s="4">
        <v>317</v>
      </c>
      <c r="G25" s="4">
        <v>7</v>
      </c>
      <c r="H25" s="4">
        <v>0</v>
      </c>
      <c r="I25" s="4">
        <v>2</v>
      </c>
      <c r="J25" s="5">
        <v>597</v>
      </c>
      <c r="K25" s="5">
        <v>673</v>
      </c>
      <c r="L25" s="5">
        <v>3</v>
      </c>
      <c r="M25" s="5">
        <v>1</v>
      </c>
      <c r="N25" s="5">
        <v>1</v>
      </c>
      <c r="O25" s="4">
        <v>741</v>
      </c>
      <c r="P25" s="4">
        <v>1</v>
      </c>
      <c r="Q25" s="4">
        <v>0</v>
      </c>
    </row>
    <row r="26" spans="1:17" x14ac:dyDescent="0.25">
      <c r="A26" s="3" t="s">
        <v>49</v>
      </c>
      <c r="B26" s="3" t="s">
        <v>66</v>
      </c>
      <c r="C26" s="3" t="s">
        <v>68</v>
      </c>
      <c r="D26" s="3" t="s">
        <v>36</v>
      </c>
      <c r="E26" s="4">
        <v>1753</v>
      </c>
      <c r="F26" s="4">
        <v>2642</v>
      </c>
      <c r="G26" s="4">
        <v>78</v>
      </c>
      <c r="H26" s="4">
        <v>12</v>
      </c>
      <c r="I26" s="4">
        <v>21</v>
      </c>
      <c r="J26" s="5">
        <v>2938</v>
      </c>
      <c r="K26" s="5">
        <v>3158</v>
      </c>
      <c r="L26" s="5">
        <v>70</v>
      </c>
      <c r="M26" s="5">
        <v>7</v>
      </c>
      <c r="N26" s="5">
        <v>25</v>
      </c>
      <c r="O26" s="4">
        <v>4023</v>
      </c>
      <c r="P26" s="4">
        <v>23</v>
      </c>
      <c r="Q26" s="4">
        <v>0</v>
      </c>
    </row>
    <row r="27" spans="1:17" x14ac:dyDescent="0.25">
      <c r="A27" s="3" t="s">
        <v>49</v>
      </c>
      <c r="B27" s="3" t="s">
        <v>66</v>
      </c>
      <c r="C27" s="3" t="s">
        <v>69</v>
      </c>
      <c r="D27" s="3" t="s">
        <v>36</v>
      </c>
      <c r="E27" s="4">
        <v>1426</v>
      </c>
      <c r="F27" s="4">
        <v>1641</v>
      </c>
      <c r="G27" s="4">
        <v>70</v>
      </c>
      <c r="H27" s="4">
        <v>12</v>
      </c>
      <c r="I27" s="4">
        <v>13</v>
      </c>
      <c r="J27" s="5">
        <v>5154</v>
      </c>
      <c r="K27" s="5">
        <v>8070</v>
      </c>
      <c r="L27" s="5">
        <v>770</v>
      </c>
      <c r="M27" s="5">
        <v>94</v>
      </c>
      <c r="N27" s="5">
        <v>1317</v>
      </c>
      <c r="O27" s="4">
        <v>10118</v>
      </c>
      <c r="P27" s="4">
        <v>0</v>
      </c>
      <c r="Q27" s="4">
        <v>0</v>
      </c>
    </row>
    <row r="28" spans="1:17" x14ac:dyDescent="0.25">
      <c r="A28" s="3" t="s">
        <v>70</v>
      </c>
      <c r="B28" s="3" t="s">
        <v>71</v>
      </c>
      <c r="C28" s="3" t="s">
        <v>72</v>
      </c>
      <c r="D28" s="3" t="s">
        <v>36</v>
      </c>
      <c r="E28" s="4">
        <v>9692</v>
      </c>
      <c r="F28" s="4">
        <v>9647</v>
      </c>
      <c r="G28" s="4">
        <v>385</v>
      </c>
      <c r="H28" s="4">
        <v>53</v>
      </c>
      <c r="I28" s="4">
        <v>99</v>
      </c>
      <c r="J28" s="5">
        <v>75875</v>
      </c>
      <c r="K28" s="5">
        <v>102575</v>
      </c>
      <c r="L28" s="5">
        <v>4584</v>
      </c>
      <c r="M28" s="5">
        <v>755</v>
      </c>
      <c r="N28" s="5">
        <v>30778</v>
      </c>
      <c r="O28" s="4">
        <v>137408</v>
      </c>
      <c r="P28" s="4">
        <v>281</v>
      </c>
      <c r="Q28" s="4">
        <v>0</v>
      </c>
    </row>
    <row r="29" spans="1:17" x14ac:dyDescent="0.25">
      <c r="A29" s="3" t="s">
        <v>70</v>
      </c>
      <c r="B29" s="3" t="s">
        <v>71</v>
      </c>
      <c r="C29" s="3" t="s">
        <v>73</v>
      </c>
      <c r="D29" s="3" t="s">
        <v>36</v>
      </c>
      <c r="E29" s="4">
        <v>6095</v>
      </c>
      <c r="F29" s="4">
        <v>5882</v>
      </c>
      <c r="G29" s="4">
        <v>221</v>
      </c>
      <c r="H29" s="4">
        <v>59</v>
      </c>
      <c r="I29" s="4">
        <v>152</v>
      </c>
      <c r="J29" s="5">
        <v>14259</v>
      </c>
      <c r="K29" s="5">
        <v>18924</v>
      </c>
      <c r="L29" s="5">
        <v>1141</v>
      </c>
      <c r="M29" s="5">
        <v>327</v>
      </c>
      <c r="N29" s="5">
        <v>1826</v>
      </c>
      <c r="O29" s="4">
        <v>22438</v>
      </c>
      <c r="P29" s="4">
        <v>51</v>
      </c>
      <c r="Q29" s="4">
        <v>10</v>
      </c>
    </row>
    <row r="30" spans="1:17" x14ac:dyDescent="0.25">
      <c r="A30" s="3" t="s">
        <v>70</v>
      </c>
      <c r="B30" s="3" t="s">
        <v>71</v>
      </c>
      <c r="C30" s="3" t="s">
        <v>74</v>
      </c>
      <c r="D30" s="3" t="s">
        <v>36</v>
      </c>
      <c r="E30" s="4">
        <v>4103</v>
      </c>
      <c r="F30" s="4">
        <v>4153</v>
      </c>
      <c r="G30" s="4">
        <v>108</v>
      </c>
      <c r="H30" s="4">
        <v>9</v>
      </c>
      <c r="I30" s="4">
        <v>42</v>
      </c>
      <c r="J30" s="5">
        <v>8193</v>
      </c>
      <c r="K30" s="5">
        <v>11253</v>
      </c>
      <c r="L30" s="5">
        <v>279</v>
      </c>
      <c r="M30" s="5">
        <v>52</v>
      </c>
      <c r="N30" s="5">
        <v>7</v>
      </c>
      <c r="O30" s="4">
        <v>11442</v>
      </c>
      <c r="P30" s="4">
        <v>40</v>
      </c>
      <c r="Q30" s="4">
        <v>0</v>
      </c>
    </row>
    <row r="31" spans="1:17" x14ac:dyDescent="0.25">
      <c r="A31" s="3" t="s">
        <v>70</v>
      </c>
      <c r="B31" s="3" t="s">
        <v>75</v>
      </c>
      <c r="C31" s="3" t="s">
        <v>76</v>
      </c>
      <c r="D31" s="3" t="s">
        <v>36</v>
      </c>
      <c r="E31" s="4">
        <v>9271</v>
      </c>
      <c r="F31" s="4">
        <v>9055</v>
      </c>
      <c r="G31" s="4">
        <v>255</v>
      </c>
      <c r="H31" s="4">
        <v>28</v>
      </c>
      <c r="I31" s="4">
        <v>82</v>
      </c>
      <c r="J31" s="5">
        <v>23099</v>
      </c>
      <c r="K31" s="5">
        <v>30088</v>
      </c>
      <c r="L31" s="5">
        <v>1170</v>
      </c>
      <c r="M31" s="5">
        <v>526</v>
      </c>
      <c r="N31" s="5">
        <v>224</v>
      </c>
      <c r="O31" s="4">
        <v>34145</v>
      </c>
      <c r="P31" s="4">
        <v>5</v>
      </c>
      <c r="Q31" s="4">
        <v>0</v>
      </c>
    </row>
    <row r="32" spans="1:17" x14ac:dyDescent="0.25">
      <c r="A32" s="3" t="s">
        <v>70</v>
      </c>
      <c r="B32" s="3" t="s">
        <v>75</v>
      </c>
      <c r="C32" s="3" t="s">
        <v>77</v>
      </c>
      <c r="D32" s="3" t="s">
        <v>36</v>
      </c>
      <c r="E32" s="4">
        <v>1930</v>
      </c>
      <c r="F32" s="4">
        <v>2077</v>
      </c>
      <c r="G32" s="4">
        <v>67</v>
      </c>
      <c r="H32" s="4">
        <v>9</v>
      </c>
      <c r="I32" s="4">
        <v>10</v>
      </c>
      <c r="J32" s="5">
        <v>4340</v>
      </c>
      <c r="K32" s="5">
        <v>4962</v>
      </c>
      <c r="L32" s="5">
        <v>21</v>
      </c>
      <c r="M32" s="5">
        <v>4</v>
      </c>
      <c r="N32" s="5">
        <v>49</v>
      </c>
      <c r="O32" s="4">
        <v>5369</v>
      </c>
      <c r="P32" s="4">
        <v>2</v>
      </c>
      <c r="Q32" s="4">
        <v>1</v>
      </c>
    </row>
    <row r="33" spans="1:17" x14ac:dyDescent="0.25">
      <c r="A33" s="3" t="s">
        <v>70</v>
      </c>
      <c r="B33" s="3" t="s">
        <v>75</v>
      </c>
      <c r="C33" s="3" t="s">
        <v>78</v>
      </c>
      <c r="D33" s="3" t="s">
        <v>36</v>
      </c>
      <c r="E33" s="4">
        <v>1176</v>
      </c>
      <c r="F33" s="4">
        <v>1302</v>
      </c>
      <c r="G33" s="4">
        <v>61</v>
      </c>
      <c r="H33" s="4">
        <v>13</v>
      </c>
      <c r="I33" s="4">
        <v>16</v>
      </c>
      <c r="J33" s="5">
        <v>656</v>
      </c>
      <c r="K33" s="5">
        <v>1775</v>
      </c>
      <c r="L33" s="5">
        <v>702</v>
      </c>
      <c r="M33" s="5">
        <v>35</v>
      </c>
      <c r="N33" s="5">
        <v>51</v>
      </c>
      <c r="O33" s="4">
        <v>2815</v>
      </c>
      <c r="P33" s="4">
        <v>448</v>
      </c>
      <c r="Q33" s="4">
        <v>0</v>
      </c>
    </row>
    <row r="34" spans="1:17" x14ac:dyDescent="0.25">
      <c r="A34" s="3" t="s">
        <v>70</v>
      </c>
      <c r="B34" s="3" t="s">
        <v>79</v>
      </c>
      <c r="C34" s="3" t="s">
        <v>80</v>
      </c>
      <c r="D34" s="3" t="s">
        <v>36</v>
      </c>
      <c r="E34" s="4">
        <v>1663</v>
      </c>
      <c r="F34" s="4">
        <v>1596</v>
      </c>
      <c r="G34" s="4">
        <v>71</v>
      </c>
      <c r="H34" s="4">
        <v>10</v>
      </c>
      <c r="I34" s="4">
        <v>17</v>
      </c>
      <c r="J34" s="5">
        <v>7207</v>
      </c>
      <c r="K34" s="5">
        <v>9630</v>
      </c>
      <c r="L34" s="5">
        <v>245</v>
      </c>
      <c r="M34" s="5">
        <v>137</v>
      </c>
      <c r="N34" s="5">
        <v>129</v>
      </c>
      <c r="O34" s="4">
        <v>11710</v>
      </c>
      <c r="P34" s="4">
        <v>1251</v>
      </c>
      <c r="Q34" s="4">
        <v>34</v>
      </c>
    </row>
    <row r="35" spans="1:17" x14ac:dyDescent="0.25">
      <c r="A35" s="3" t="s">
        <v>70</v>
      </c>
      <c r="B35" s="3" t="s">
        <v>79</v>
      </c>
      <c r="C35" s="3" t="s">
        <v>81</v>
      </c>
      <c r="D35" s="3" t="s">
        <v>36</v>
      </c>
      <c r="E35" s="4">
        <v>4846</v>
      </c>
      <c r="F35" s="4">
        <v>4581</v>
      </c>
      <c r="G35" s="4">
        <v>110</v>
      </c>
      <c r="H35" s="4">
        <v>10</v>
      </c>
      <c r="I35" s="4">
        <v>38</v>
      </c>
      <c r="J35" s="5">
        <v>5383</v>
      </c>
      <c r="K35" s="5">
        <v>7942</v>
      </c>
      <c r="L35" s="5">
        <v>345</v>
      </c>
      <c r="M35" s="5">
        <v>71</v>
      </c>
      <c r="N35" s="5">
        <v>177</v>
      </c>
      <c r="O35" s="4">
        <v>12208</v>
      </c>
      <c r="P35" s="4">
        <v>2044</v>
      </c>
      <c r="Q35" s="4">
        <v>0</v>
      </c>
    </row>
    <row r="36" spans="1:17" x14ac:dyDescent="0.25">
      <c r="A36" s="3" t="s">
        <v>70</v>
      </c>
      <c r="B36" s="3" t="s">
        <v>79</v>
      </c>
      <c r="C36" s="3" t="s">
        <v>82</v>
      </c>
      <c r="D36" s="3" t="s">
        <v>36</v>
      </c>
      <c r="E36" s="4">
        <v>3608</v>
      </c>
      <c r="F36" s="4">
        <v>3496</v>
      </c>
      <c r="G36" s="4">
        <v>98</v>
      </c>
      <c r="H36" s="4">
        <v>15</v>
      </c>
      <c r="I36" s="4">
        <v>28</v>
      </c>
      <c r="J36" s="5">
        <v>5664</v>
      </c>
      <c r="K36" s="5">
        <v>6466</v>
      </c>
      <c r="L36" s="5">
        <v>64</v>
      </c>
      <c r="M36" s="5">
        <v>17</v>
      </c>
      <c r="N36" s="5">
        <v>28</v>
      </c>
      <c r="O36" s="4">
        <v>6537</v>
      </c>
      <c r="P36" s="4">
        <v>189</v>
      </c>
      <c r="Q36" s="4">
        <v>4</v>
      </c>
    </row>
    <row r="37" spans="1:17" x14ac:dyDescent="0.25">
      <c r="A37" s="3" t="s">
        <v>70</v>
      </c>
      <c r="B37" s="3" t="s">
        <v>83</v>
      </c>
      <c r="C37" s="3" t="s">
        <v>84</v>
      </c>
      <c r="D37" s="3" t="s">
        <v>36</v>
      </c>
      <c r="E37" s="4">
        <v>2912</v>
      </c>
      <c r="F37" s="4">
        <v>2779</v>
      </c>
      <c r="G37" s="4">
        <v>76</v>
      </c>
      <c r="H37" s="4">
        <v>10</v>
      </c>
      <c r="I37" s="4">
        <v>13</v>
      </c>
      <c r="J37" s="5">
        <v>390</v>
      </c>
      <c r="K37" s="5">
        <v>774</v>
      </c>
      <c r="L37" s="5">
        <v>48</v>
      </c>
      <c r="M37" s="5">
        <v>2</v>
      </c>
      <c r="N37" s="5">
        <v>2</v>
      </c>
      <c r="O37" s="4">
        <v>881</v>
      </c>
      <c r="P37" s="4">
        <v>17</v>
      </c>
      <c r="Q37" s="4">
        <v>0</v>
      </c>
    </row>
    <row r="38" spans="1:17" x14ac:dyDescent="0.25">
      <c r="A38" s="3" t="s">
        <v>70</v>
      </c>
      <c r="B38" s="3" t="s">
        <v>83</v>
      </c>
      <c r="C38" s="3" t="s">
        <v>85</v>
      </c>
      <c r="D38" s="3" t="s">
        <v>36</v>
      </c>
      <c r="E38" s="4">
        <v>2314</v>
      </c>
      <c r="F38" s="4">
        <v>2235</v>
      </c>
      <c r="G38" s="4">
        <v>107</v>
      </c>
      <c r="H38" s="4">
        <v>10</v>
      </c>
      <c r="I38" s="4"/>
      <c r="J38" s="5">
        <v>10731</v>
      </c>
      <c r="K38" s="5">
        <v>19163</v>
      </c>
      <c r="L38" s="5">
        <v>2220</v>
      </c>
      <c r="M38" s="5">
        <v>201</v>
      </c>
      <c r="N38" s="5">
        <v>1863</v>
      </c>
      <c r="O38" s="4">
        <v>25765</v>
      </c>
      <c r="P38" s="4">
        <v>2015</v>
      </c>
      <c r="Q38" s="4">
        <v>410</v>
      </c>
    </row>
    <row r="39" spans="1:17" x14ac:dyDescent="0.25">
      <c r="A39" s="3" t="s">
        <v>70</v>
      </c>
      <c r="B39" s="3" t="s">
        <v>83</v>
      </c>
      <c r="C39" s="3" t="s">
        <v>86</v>
      </c>
      <c r="D39" s="3" t="s">
        <v>36</v>
      </c>
      <c r="E39" s="4">
        <v>659</v>
      </c>
      <c r="F39" s="4">
        <v>599</v>
      </c>
      <c r="G39" s="4">
        <v>18</v>
      </c>
      <c r="H39" s="4">
        <v>3</v>
      </c>
      <c r="I39" s="4"/>
      <c r="J39" s="5">
        <v>80</v>
      </c>
      <c r="K39" s="5">
        <v>76</v>
      </c>
      <c r="L39" s="5">
        <v>0</v>
      </c>
      <c r="M39" s="5">
        <v>0</v>
      </c>
      <c r="N39" s="5">
        <v>1</v>
      </c>
      <c r="O39" s="4">
        <v>105</v>
      </c>
      <c r="P39" s="4">
        <v>0</v>
      </c>
      <c r="Q39" s="4">
        <v>0</v>
      </c>
    </row>
    <row r="40" spans="1:17" x14ac:dyDescent="0.25">
      <c r="A40" s="3" t="s">
        <v>87</v>
      </c>
      <c r="B40" s="3" t="s">
        <v>88</v>
      </c>
      <c r="C40" s="3" t="s">
        <v>8</v>
      </c>
      <c r="D40" s="3" t="s">
        <v>36</v>
      </c>
      <c r="E40" s="4"/>
      <c r="F40" s="4"/>
      <c r="G40" s="4">
        <v>175</v>
      </c>
      <c r="H40" s="4">
        <v>22</v>
      </c>
      <c r="I40" s="4"/>
      <c r="J40" s="5">
        <v>31211</v>
      </c>
      <c r="K40" s="5">
        <v>40962</v>
      </c>
      <c r="L40" s="5">
        <v>1587</v>
      </c>
      <c r="M40" s="5"/>
      <c r="N40" s="5">
        <v>11351</v>
      </c>
      <c r="O40" s="4">
        <v>55274</v>
      </c>
      <c r="P40" s="4">
        <v>55</v>
      </c>
      <c r="Q40" s="4">
        <v>24</v>
      </c>
    </row>
    <row r="41" spans="1:17" x14ac:dyDescent="0.25">
      <c r="A41" s="3" t="s">
        <v>87</v>
      </c>
      <c r="B41" s="3" t="s">
        <v>88</v>
      </c>
      <c r="C41" s="3" t="s">
        <v>9</v>
      </c>
      <c r="D41" s="3" t="s">
        <v>36</v>
      </c>
      <c r="E41" s="4"/>
      <c r="F41" s="4"/>
      <c r="G41" s="4">
        <v>299</v>
      </c>
      <c r="H41" s="4">
        <v>51</v>
      </c>
      <c r="I41" s="4">
        <v>66</v>
      </c>
      <c r="J41" s="5"/>
      <c r="K41" s="5">
        <v>52833</v>
      </c>
      <c r="L41" s="5">
        <v>2433</v>
      </c>
      <c r="M41" s="5"/>
      <c r="N41" s="5"/>
      <c r="O41" s="4"/>
      <c r="P41" s="4">
        <v>69</v>
      </c>
      <c r="Q41" s="4">
        <v>8</v>
      </c>
    </row>
    <row r="42" spans="1:17" x14ac:dyDescent="0.25">
      <c r="A42" s="3" t="s">
        <v>87</v>
      </c>
      <c r="B42" s="3" t="s">
        <v>88</v>
      </c>
      <c r="C42" s="3" t="s">
        <v>10</v>
      </c>
      <c r="D42" s="3" t="s">
        <v>36</v>
      </c>
      <c r="E42" s="4"/>
      <c r="F42" s="4"/>
      <c r="G42" s="4">
        <v>493</v>
      </c>
      <c r="H42" s="4">
        <v>81</v>
      </c>
      <c r="I42" s="4">
        <v>341</v>
      </c>
      <c r="J42" s="5"/>
      <c r="K42" s="5">
        <v>74623</v>
      </c>
      <c r="L42" s="5">
        <v>4635</v>
      </c>
      <c r="M42" s="5"/>
      <c r="N42" s="5"/>
      <c r="O42" s="4"/>
      <c r="P42" s="4"/>
      <c r="Q42" s="4">
        <v>342</v>
      </c>
    </row>
    <row r="43" spans="1:17" x14ac:dyDescent="0.25">
      <c r="A43" s="3" t="s">
        <v>87</v>
      </c>
      <c r="B43" s="3" t="s">
        <v>89</v>
      </c>
      <c r="C43" s="3" t="s">
        <v>11</v>
      </c>
      <c r="D43" s="3" t="s">
        <v>36</v>
      </c>
      <c r="E43" s="4">
        <v>9536</v>
      </c>
      <c r="F43" s="4"/>
      <c r="G43" s="4">
        <v>389</v>
      </c>
      <c r="H43" s="4">
        <v>59</v>
      </c>
      <c r="I43" s="4">
        <v>130</v>
      </c>
      <c r="J43" s="5"/>
      <c r="K43" s="5"/>
      <c r="L43" s="5">
        <v>2039</v>
      </c>
      <c r="M43" s="5">
        <v>299</v>
      </c>
      <c r="N43" s="5"/>
      <c r="O43" s="4"/>
      <c r="P43" s="4"/>
      <c r="Q43" s="4">
        <v>21</v>
      </c>
    </row>
    <row r="44" spans="1:17" x14ac:dyDescent="0.25">
      <c r="A44" s="3" t="s">
        <v>87</v>
      </c>
      <c r="B44" s="3" t="s">
        <v>89</v>
      </c>
      <c r="C44" s="3" t="s">
        <v>12</v>
      </c>
      <c r="D44" s="3" t="s">
        <v>36</v>
      </c>
      <c r="E44" s="4">
        <v>3439</v>
      </c>
      <c r="F44" s="4">
        <v>1967</v>
      </c>
      <c r="G44" s="4">
        <v>28</v>
      </c>
      <c r="H44" s="4">
        <v>4</v>
      </c>
      <c r="I44" s="4">
        <v>5</v>
      </c>
      <c r="J44" s="5">
        <v>16</v>
      </c>
      <c r="K44" s="5"/>
      <c r="L44" s="5">
        <v>1</v>
      </c>
      <c r="M44" s="5">
        <v>1</v>
      </c>
      <c r="N44" s="5"/>
      <c r="O44" s="4"/>
      <c r="P44" s="4">
        <v>0</v>
      </c>
      <c r="Q44" s="4">
        <v>0</v>
      </c>
    </row>
    <row r="45" spans="1:17" x14ac:dyDescent="0.25">
      <c r="A45" s="3" t="s">
        <v>87</v>
      </c>
      <c r="B45" s="3" t="s">
        <v>89</v>
      </c>
      <c r="C45" s="3" t="s">
        <v>13</v>
      </c>
      <c r="D45" s="3" t="s">
        <v>36</v>
      </c>
      <c r="E45" s="4">
        <v>946</v>
      </c>
      <c r="F45" s="4">
        <v>871</v>
      </c>
      <c r="G45" s="4"/>
      <c r="H45" s="4">
        <v>4</v>
      </c>
      <c r="I45" s="4">
        <v>7</v>
      </c>
      <c r="J45" s="5">
        <v>332</v>
      </c>
      <c r="K45" s="5">
        <v>387</v>
      </c>
      <c r="L45" s="5">
        <v>10</v>
      </c>
      <c r="M45" s="5">
        <v>3</v>
      </c>
      <c r="N45" s="5">
        <v>54</v>
      </c>
      <c r="O45" s="4">
        <v>454</v>
      </c>
      <c r="P45" s="4">
        <v>3</v>
      </c>
      <c r="Q45" s="4">
        <v>0</v>
      </c>
    </row>
    <row r="46" spans="1:17" x14ac:dyDescent="0.25">
      <c r="A46" s="3" t="s">
        <v>87</v>
      </c>
      <c r="B46" s="3" t="s">
        <v>90</v>
      </c>
      <c r="C46" s="3" t="s">
        <v>14</v>
      </c>
      <c r="D46" s="3" t="s">
        <v>36</v>
      </c>
      <c r="E46" s="4">
        <v>1523</v>
      </c>
      <c r="F46" s="4">
        <v>1897</v>
      </c>
      <c r="G46" s="4">
        <v>53</v>
      </c>
      <c r="H46" s="4">
        <v>8</v>
      </c>
      <c r="I46" s="4">
        <v>15</v>
      </c>
      <c r="J46" s="5">
        <v>1617</v>
      </c>
      <c r="K46" s="5">
        <v>2289</v>
      </c>
      <c r="L46" s="5">
        <v>129</v>
      </c>
      <c r="M46" s="5">
        <v>88</v>
      </c>
      <c r="N46" s="5">
        <v>6</v>
      </c>
      <c r="O46" s="4">
        <v>2589</v>
      </c>
      <c r="P46" s="4">
        <v>167</v>
      </c>
      <c r="Q46" s="4">
        <v>2</v>
      </c>
    </row>
    <row r="47" spans="1:17" x14ac:dyDescent="0.25">
      <c r="A47" s="3" t="s">
        <v>87</v>
      </c>
      <c r="B47" s="3" t="s">
        <v>90</v>
      </c>
      <c r="C47" s="3" t="s">
        <v>15</v>
      </c>
      <c r="D47" s="3" t="s">
        <v>36</v>
      </c>
      <c r="E47" s="4">
        <v>2020</v>
      </c>
      <c r="F47" s="4">
        <v>2403</v>
      </c>
      <c r="G47" s="4">
        <v>53</v>
      </c>
      <c r="H47" s="4"/>
      <c r="I47" s="4">
        <v>8</v>
      </c>
      <c r="J47" s="5">
        <v>996</v>
      </c>
      <c r="K47" s="5">
        <v>1079</v>
      </c>
      <c r="L47" s="5">
        <v>21</v>
      </c>
      <c r="M47" s="5">
        <v>1</v>
      </c>
      <c r="N47" s="5">
        <v>1</v>
      </c>
      <c r="O47" s="4">
        <v>1049</v>
      </c>
      <c r="P47" s="4">
        <v>73</v>
      </c>
      <c r="Q47" s="4">
        <v>1</v>
      </c>
    </row>
    <row r="48" spans="1:17" x14ac:dyDescent="0.25">
      <c r="A48" s="3" t="s">
        <v>87</v>
      </c>
      <c r="B48" s="3" t="s">
        <v>90</v>
      </c>
      <c r="C48" s="3" t="s">
        <v>16</v>
      </c>
      <c r="D48" s="3" t="s">
        <v>36</v>
      </c>
      <c r="E48" s="4">
        <v>2082</v>
      </c>
      <c r="F48" s="4">
        <v>2159</v>
      </c>
      <c r="G48" s="4">
        <v>76</v>
      </c>
      <c r="H48" s="4">
        <v>14</v>
      </c>
      <c r="I48" s="4">
        <v>18</v>
      </c>
      <c r="J48" s="5">
        <v>1915</v>
      </c>
      <c r="K48" s="5">
        <v>2699</v>
      </c>
      <c r="L48" s="5">
        <v>293</v>
      </c>
      <c r="M48" s="5">
        <v>25</v>
      </c>
      <c r="N48" s="5">
        <v>207</v>
      </c>
      <c r="O48" s="4">
        <v>3539</v>
      </c>
      <c r="P48" s="4">
        <v>519</v>
      </c>
      <c r="Q48" s="4">
        <v>0</v>
      </c>
    </row>
    <row r="49" spans="1:17" x14ac:dyDescent="0.25">
      <c r="A49" s="3" t="s">
        <v>87</v>
      </c>
      <c r="B49" s="3" t="s">
        <v>91</v>
      </c>
      <c r="C49" s="3" t="s">
        <v>17</v>
      </c>
      <c r="D49" s="3" t="s">
        <v>36</v>
      </c>
      <c r="E49" s="4">
        <v>1399</v>
      </c>
      <c r="F49" s="4">
        <v>1280</v>
      </c>
      <c r="G49" s="4">
        <v>43</v>
      </c>
      <c r="H49" s="4">
        <v>2</v>
      </c>
      <c r="I49" s="4">
        <v>9</v>
      </c>
      <c r="J49" s="5">
        <v>1674</v>
      </c>
      <c r="K49" s="5">
        <v>2200</v>
      </c>
      <c r="L49" s="5">
        <v>273</v>
      </c>
      <c r="M49" s="5">
        <v>22</v>
      </c>
      <c r="N49" s="5">
        <v>4</v>
      </c>
      <c r="O49" s="4">
        <v>3094</v>
      </c>
      <c r="P49" s="4">
        <v>265</v>
      </c>
      <c r="Q49" s="4">
        <v>96</v>
      </c>
    </row>
    <row r="50" spans="1:17" x14ac:dyDescent="0.25">
      <c r="A50" s="3" t="s">
        <v>87</v>
      </c>
      <c r="B50" s="3" t="s">
        <v>91</v>
      </c>
      <c r="C50" s="3" t="s">
        <v>18</v>
      </c>
      <c r="D50" s="3" t="s">
        <v>36</v>
      </c>
      <c r="E50" s="4">
        <v>849</v>
      </c>
      <c r="F50" s="4">
        <v>779</v>
      </c>
      <c r="G50" s="4">
        <v>14</v>
      </c>
      <c r="H50" s="4">
        <v>2</v>
      </c>
      <c r="I50" s="4">
        <v>4</v>
      </c>
      <c r="J50" s="5">
        <v>374</v>
      </c>
      <c r="K50" s="5">
        <v>401</v>
      </c>
      <c r="L50" s="5">
        <v>43</v>
      </c>
      <c r="M50" s="5">
        <v>3</v>
      </c>
      <c r="N50" s="5">
        <v>10</v>
      </c>
      <c r="O50" s="4">
        <v>1138</v>
      </c>
      <c r="P50" s="4">
        <v>379</v>
      </c>
      <c r="Q50" s="4">
        <v>139</v>
      </c>
    </row>
    <row r="51" spans="1:17" x14ac:dyDescent="0.25">
      <c r="A51" s="3" t="s">
        <v>87</v>
      </c>
      <c r="B51" s="3" t="s">
        <v>91</v>
      </c>
      <c r="C51" s="3" t="s">
        <v>19</v>
      </c>
      <c r="D51" s="3" t="s">
        <v>36</v>
      </c>
      <c r="E51" s="4">
        <v>2647</v>
      </c>
      <c r="F51" s="4">
        <v>4353</v>
      </c>
      <c r="G51" s="4">
        <v>169</v>
      </c>
      <c r="H51" s="4">
        <v>10</v>
      </c>
      <c r="I51" s="4">
        <v>38</v>
      </c>
      <c r="J51" s="5">
        <v>1841</v>
      </c>
      <c r="K51" s="5">
        <v>2596</v>
      </c>
      <c r="L51" s="5">
        <v>197</v>
      </c>
      <c r="M51" s="5">
        <v>44</v>
      </c>
      <c r="N51" s="5">
        <v>33</v>
      </c>
      <c r="O51" s="4">
        <v>2674</v>
      </c>
      <c r="P51" s="4">
        <v>138</v>
      </c>
      <c r="Q51" s="4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EB90-289B-4AF5-B081-AC97CFA72DA7}">
  <dimension ref="A1:Q51"/>
  <sheetViews>
    <sheetView topLeftCell="A40" workbookViewId="0">
      <selection activeCell="H59" sqref="H59"/>
    </sheetView>
  </sheetViews>
  <sheetFormatPr defaultRowHeight="15" x14ac:dyDescent="0.25"/>
  <sheetData>
    <row r="1" spans="1:17" x14ac:dyDescent="0.25">
      <c r="A1" s="17" t="s">
        <v>25</v>
      </c>
      <c r="B1" s="17" t="s">
        <v>26</v>
      </c>
      <c r="C1" s="17" t="s">
        <v>0</v>
      </c>
      <c r="D1" s="17" t="s">
        <v>27</v>
      </c>
      <c r="E1" s="1" t="s">
        <v>28</v>
      </c>
      <c r="F1" s="2" t="s">
        <v>2</v>
      </c>
      <c r="G1" s="2" t="s">
        <v>29</v>
      </c>
      <c r="H1" s="2" t="s">
        <v>6</v>
      </c>
      <c r="I1" s="2" t="s">
        <v>3</v>
      </c>
      <c r="J1" s="1" t="s">
        <v>28</v>
      </c>
      <c r="K1" s="2" t="s">
        <v>2</v>
      </c>
      <c r="L1" s="2" t="s">
        <v>29</v>
      </c>
      <c r="M1" s="2" t="s">
        <v>6</v>
      </c>
      <c r="N1" s="2" t="s">
        <v>3</v>
      </c>
      <c r="O1" s="2" t="s">
        <v>30</v>
      </c>
      <c r="P1" s="2" t="s">
        <v>31</v>
      </c>
      <c r="Q1" s="2" t="s">
        <v>32</v>
      </c>
    </row>
    <row r="2" spans="1:17" x14ac:dyDescent="0.25">
      <c r="A2" s="3" t="s">
        <v>33</v>
      </c>
      <c r="B2" s="3" t="s">
        <v>34</v>
      </c>
      <c r="C2" s="3" t="s">
        <v>35</v>
      </c>
      <c r="D2" s="3" t="s">
        <v>36</v>
      </c>
      <c r="E2" s="4">
        <v>8898</v>
      </c>
      <c r="F2" s="4">
        <v>8487</v>
      </c>
      <c r="G2" s="4">
        <v>377</v>
      </c>
      <c r="H2" s="4">
        <v>54</v>
      </c>
      <c r="I2" s="4">
        <v>135</v>
      </c>
      <c r="J2" s="5">
        <v>41986</v>
      </c>
      <c r="K2" s="5">
        <v>54855</v>
      </c>
      <c r="L2" s="5">
        <v>2820</v>
      </c>
      <c r="M2" s="5">
        <v>647</v>
      </c>
      <c r="N2" s="5">
        <v>11010</v>
      </c>
      <c r="O2" s="4">
        <v>74731</v>
      </c>
      <c r="P2" s="4">
        <v>2942</v>
      </c>
      <c r="Q2" s="4">
        <v>0</v>
      </c>
    </row>
    <row r="3" spans="1:17" x14ac:dyDescent="0.25">
      <c r="A3" s="3" t="s">
        <v>33</v>
      </c>
      <c r="B3" s="3" t="s">
        <v>34</v>
      </c>
      <c r="C3" s="3" t="s">
        <v>37</v>
      </c>
      <c r="D3" s="3" t="s">
        <v>36</v>
      </c>
      <c r="E3" s="4">
        <v>3739</v>
      </c>
      <c r="F3" s="4">
        <v>3450</v>
      </c>
      <c r="G3" s="4">
        <v>119</v>
      </c>
      <c r="H3" s="4">
        <v>15</v>
      </c>
      <c r="I3" s="4">
        <v>31</v>
      </c>
      <c r="J3" s="5">
        <v>5535</v>
      </c>
      <c r="K3" s="5">
        <v>6535</v>
      </c>
      <c r="L3" s="5">
        <v>115</v>
      </c>
      <c r="M3" s="5">
        <v>28</v>
      </c>
      <c r="N3" s="5">
        <v>199</v>
      </c>
      <c r="O3" s="4">
        <v>10475</v>
      </c>
      <c r="P3" s="4">
        <v>676</v>
      </c>
      <c r="Q3" s="4">
        <v>0</v>
      </c>
    </row>
    <row r="4" spans="1:17" x14ac:dyDescent="0.25">
      <c r="A4" s="3" t="s">
        <v>33</v>
      </c>
      <c r="B4" s="3" t="s">
        <v>34</v>
      </c>
      <c r="C4" s="3" t="s">
        <v>38</v>
      </c>
      <c r="D4" s="3" t="s">
        <v>36</v>
      </c>
      <c r="E4" s="4">
        <v>5712</v>
      </c>
      <c r="F4" s="4">
        <v>5494</v>
      </c>
      <c r="G4" s="4">
        <v>169</v>
      </c>
      <c r="H4" s="4">
        <v>17</v>
      </c>
      <c r="I4" s="4">
        <v>48</v>
      </c>
      <c r="J4" s="5">
        <v>28851</v>
      </c>
      <c r="K4" s="5">
        <v>31910</v>
      </c>
      <c r="L4" s="5">
        <v>386</v>
      </c>
      <c r="M4" s="5">
        <v>91</v>
      </c>
      <c r="N4" s="5">
        <v>1272</v>
      </c>
      <c r="O4" s="4">
        <v>38597</v>
      </c>
      <c r="P4" s="4">
        <v>301</v>
      </c>
      <c r="Q4" s="4">
        <v>10</v>
      </c>
    </row>
    <row r="5" spans="1:17" x14ac:dyDescent="0.25">
      <c r="A5" s="3" t="s">
        <v>33</v>
      </c>
      <c r="B5" s="3" t="s">
        <v>39</v>
      </c>
      <c r="C5" s="3" t="s">
        <v>40</v>
      </c>
      <c r="D5" s="3" t="s">
        <v>36</v>
      </c>
      <c r="E5" s="4">
        <v>468</v>
      </c>
      <c r="F5" s="4">
        <v>422</v>
      </c>
      <c r="G5" s="4">
        <v>10</v>
      </c>
      <c r="H5" s="4">
        <v>0</v>
      </c>
      <c r="I5" s="4">
        <v>2</v>
      </c>
      <c r="J5" s="5">
        <v>4926</v>
      </c>
      <c r="K5" s="5">
        <v>5886</v>
      </c>
      <c r="L5" s="5">
        <v>28</v>
      </c>
      <c r="M5" s="5">
        <v>2</v>
      </c>
      <c r="N5" s="5">
        <v>15</v>
      </c>
      <c r="O5" s="4">
        <v>6252</v>
      </c>
      <c r="P5" s="4">
        <v>0</v>
      </c>
      <c r="Q5" s="4">
        <v>0</v>
      </c>
    </row>
    <row r="6" spans="1:17" x14ac:dyDescent="0.25">
      <c r="A6" s="3" t="s">
        <v>33</v>
      </c>
      <c r="B6" s="3" t="s">
        <v>39</v>
      </c>
      <c r="C6" s="3" t="s">
        <v>41</v>
      </c>
      <c r="D6" s="3" t="s">
        <v>36</v>
      </c>
      <c r="E6" s="4">
        <v>4724</v>
      </c>
      <c r="F6" s="4">
        <v>4511</v>
      </c>
      <c r="G6" s="4">
        <v>148</v>
      </c>
      <c r="H6" s="4">
        <v>7</v>
      </c>
      <c r="I6" s="4">
        <v>68</v>
      </c>
      <c r="J6" s="5">
        <v>18948</v>
      </c>
      <c r="K6" s="5">
        <v>22574</v>
      </c>
      <c r="L6" s="5">
        <v>1164</v>
      </c>
      <c r="M6" s="5">
        <v>258</v>
      </c>
      <c r="N6" s="5">
        <v>449</v>
      </c>
      <c r="O6" s="4">
        <v>26781</v>
      </c>
      <c r="P6" s="4">
        <v>16</v>
      </c>
      <c r="Q6" s="4">
        <v>0</v>
      </c>
    </row>
    <row r="7" spans="1:17" x14ac:dyDescent="0.25">
      <c r="A7" s="3" t="s">
        <v>33</v>
      </c>
      <c r="B7" s="3" t="s">
        <v>39</v>
      </c>
      <c r="C7" s="3" t="s">
        <v>42</v>
      </c>
      <c r="D7" s="3" t="s">
        <v>36</v>
      </c>
      <c r="E7" s="4">
        <v>2465</v>
      </c>
      <c r="F7" s="4">
        <v>2434</v>
      </c>
      <c r="G7" s="4">
        <v>113</v>
      </c>
      <c r="H7" s="4">
        <v>8</v>
      </c>
      <c r="I7" s="4">
        <v>15</v>
      </c>
      <c r="J7" s="5">
        <v>23583</v>
      </c>
      <c r="K7" s="5">
        <v>28809</v>
      </c>
      <c r="L7" s="5">
        <v>594</v>
      </c>
      <c r="M7" s="5">
        <v>77</v>
      </c>
      <c r="N7" s="5">
        <v>429</v>
      </c>
      <c r="O7" s="4">
        <v>31621</v>
      </c>
      <c r="P7" s="4">
        <v>441</v>
      </c>
      <c r="Q7" s="4">
        <v>273</v>
      </c>
    </row>
    <row r="8" spans="1:17" x14ac:dyDescent="0.25">
      <c r="A8" s="3" t="s">
        <v>33</v>
      </c>
      <c r="B8" s="3" t="s">
        <v>39</v>
      </c>
      <c r="C8" s="3" t="s">
        <v>43</v>
      </c>
      <c r="D8" s="3" t="s">
        <v>36</v>
      </c>
      <c r="E8" s="4">
        <v>4588</v>
      </c>
      <c r="F8" s="4">
        <v>4708</v>
      </c>
      <c r="G8" s="4">
        <v>199</v>
      </c>
      <c r="H8" s="4">
        <v>29</v>
      </c>
      <c r="I8" s="4">
        <v>57</v>
      </c>
      <c r="J8" s="5">
        <v>13842</v>
      </c>
      <c r="K8" s="5">
        <v>18058</v>
      </c>
      <c r="L8" s="5">
        <v>1021</v>
      </c>
      <c r="M8" s="5">
        <v>129</v>
      </c>
      <c r="N8" s="5">
        <v>3214</v>
      </c>
      <c r="O8" s="4">
        <v>22608</v>
      </c>
      <c r="P8" s="4">
        <v>377</v>
      </c>
      <c r="Q8" s="4">
        <v>3</v>
      </c>
    </row>
    <row r="9" spans="1:17" x14ac:dyDescent="0.25">
      <c r="A9" s="3" t="s">
        <v>33</v>
      </c>
      <c r="B9" s="3" t="s">
        <v>44</v>
      </c>
      <c r="C9" s="3" t="s">
        <v>45</v>
      </c>
      <c r="D9" s="3" t="s">
        <v>36</v>
      </c>
      <c r="E9" s="4">
        <v>25068</v>
      </c>
      <c r="F9" s="4">
        <v>22625</v>
      </c>
      <c r="G9" s="4">
        <v>719</v>
      </c>
      <c r="H9" s="4">
        <v>105</v>
      </c>
      <c r="I9" s="4">
        <v>437</v>
      </c>
      <c r="J9" s="5">
        <v>22719</v>
      </c>
      <c r="K9" s="5">
        <v>25928</v>
      </c>
      <c r="L9" s="5">
        <v>1325</v>
      </c>
      <c r="M9" s="5">
        <v>396</v>
      </c>
      <c r="N9" s="5">
        <v>1431</v>
      </c>
      <c r="O9" s="4">
        <v>39978</v>
      </c>
      <c r="P9" s="4">
        <v>3002</v>
      </c>
      <c r="Q9" s="4">
        <v>0</v>
      </c>
    </row>
    <row r="10" spans="1:17" x14ac:dyDescent="0.25">
      <c r="A10" s="3" t="s">
        <v>33</v>
      </c>
      <c r="B10" s="3" t="s">
        <v>44</v>
      </c>
      <c r="C10" s="3" t="s">
        <v>46</v>
      </c>
      <c r="D10" s="3" t="s">
        <v>36</v>
      </c>
      <c r="E10" s="4">
        <v>1612</v>
      </c>
      <c r="F10" s="4">
        <v>1519</v>
      </c>
      <c r="G10" s="4">
        <v>43</v>
      </c>
      <c r="H10" s="4">
        <v>1</v>
      </c>
      <c r="I10" s="4">
        <v>7</v>
      </c>
      <c r="J10" s="5">
        <v>18</v>
      </c>
      <c r="K10" s="5">
        <v>24</v>
      </c>
      <c r="L10" s="5">
        <v>2</v>
      </c>
      <c r="M10" s="5">
        <v>0</v>
      </c>
      <c r="N10" s="5">
        <v>1</v>
      </c>
      <c r="O10" s="4">
        <v>30</v>
      </c>
      <c r="P10" s="4">
        <v>0</v>
      </c>
      <c r="Q10" s="4">
        <v>0</v>
      </c>
    </row>
    <row r="11" spans="1:17" x14ac:dyDescent="0.25">
      <c r="A11" s="3" t="s">
        <v>33</v>
      </c>
      <c r="B11" s="3" t="s">
        <v>44</v>
      </c>
      <c r="C11" s="3" t="s">
        <v>47</v>
      </c>
      <c r="D11" s="3" t="s">
        <v>36</v>
      </c>
      <c r="E11" s="4">
        <v>15511</v>
      </c>
      <c r="F11" s="4">
        <v>14787</v>
      </c>
      <c r="G11" s="4">
        <v>396</v>
      </c>
      <c r="H11" s="4">
        <v>38</v>
      </c>
      <c r="I11" s="4">
        <v>97</v>
      </c>
      <c r="J11" s="5">
        <v>18764</v>
      </c>
      <c r="K11" s="5">
        <v>19036</v>
      </c>
      <c r="L11" s="5">
        <v>269</v>
      </c>
      <c r="M11" s="5">
        <v>18</v>
      </c>
      <c r="N11" s="5">
        <v>24</v>
      </c>
      <c r="O11" s="4">
        <v>22803</v>
      </c>
      <c r="P11" s="4">
        <v>12</v>
      </c>
      <c r="Q11" s="4">
        <v>0</v>
      </c>
    </row>
    <row r="12" spans="1:17" x14ac:dyDescent="0.25">
      <c r="A12" s="3" t="s">
        <v>33</v>
      </c>
      <c r="B12" s="3" t="s">
        <v>44</v>
      </c>
      <c r="C12" s="3" t="s">
        <v>48</v>
      </c>
      <c r="D12" s="3" t="s">
        <v>36</v>
      </c>
      <c r="E12" s="4">
        <v>18992</v>
      </c>
      <c r="F12" s="4">
        <v>15275</v>
      </c>
      <c r="G12" s="4">
        <v>526</v>
      </c>
      <c r="H12" s="4">
        <v>98</v>
      </c>
      <c r="I12" s="4">
        <v>845</v>
      </c>
      <c r="J12" s="5">
        <v>11899</v>
      </c>
      <c r="K12" s="5">
        <v>15092</v>
      </c>
      <c r="L12" s="5">
        <v>857</v>
      </c>
      <c r="M12" s="5">
        <v>374</v>
      </c>
      <c r="N12" s="5">
        <v>1263</v>
      </c>
      <c r="O12" s="4">
        <v>19761</v>
      </c>
      <c r="P12" s="4">
        <v>647</v>
      </c>
      <c r="Q12" s="4">
        <v>335</v>
      </c>
    </row>
    <row r="13" spans="1:17" x14ac:dyDescent="0.25">
      <c r="A13" s="3" t="s">
        <v>49</v>
      </c>
      <c r="B13" s="3" t="s">
        <v>50</v>
      </c>
      <c r="C13" s="3" t="s">
        <v>51</v>
      </c>
      <c r="D13" s="3" t="s">
        <v>36</v>
      </c>
      <c r="E13" s="4">
        <v>4443</v>
      </c>
      <c r="F13" s="4">
        <v>4460</v>
      </c>
      <c r="G13" s="4">
        <v>214</v>
      </c>
      <c r="H13" s="4">
        <v>14</v>
      </c>
      <c r="I13" s="4">
        <v>50</v>
      </c>
      <c r="J13" s="5">
        <v>56760</v>
      </c>
      <c r="K13" s="5">
        <v>74937</v>
      </c>
      <c r="L13" s="5">
        <v>2971</v>
      </c>
      <c r="M13" s="5">
        <v>365</v>
      </c>
      <c r="N13" s="5">
        <v>11919</v>
      </c>
      <c r="O13" s="4">
        <v>99931</v>
      </c>
      <c r="P13" s="4">
        <v>671</v>
      </c>
      <c r="Q13" s="4">
        <v>356</v>
      </c>
    </row>
    <row r="14" spans="1:17" x14ac:dyDescent="0.25">
      <c r="A14" s="3" t="s">
        <v>49</v>
      </c>
      <c r="B14" s="3" t="s">
        <v>50</v>
      </c>
      <c r="C14" s="3" t="s">
        <v>52</v>
      </c>
      <c r="D14" s="3" t="s">
        <v>36</v>
      </c>
      <c r="E14" s="4">
        <v>6170</v>
      </c>
      <c r="F14" s="4">
        <v>6190</v>
      </c>
      <c r="G14" s="4">
        <v>345</v>
      </c>
      <c r="H14" s="4">
        <v>44</v>
      </c>
      <c r="I14" s="4">
        <v>79</v>
      </c>
      <c r="J14" s="5">
        <v>28772</v>
      </c>
      <c r="K14" s="5">
        <v>34636</v>
      </c>
      <c r="L14" s="5">
        <v>1293</v>
      </c>
      <c r="M14" s="5">
        <v>223</v>
      </c>
      <c r="N14" s="5">
        <v>1333</v>
      </c>
      <c r="O14" s="4">
        <v>42599</v>
      </c>
      <c r="P14" s="4">
        <v>1073</v>
      </c>
      <c r="Q14" s="4">
        <v>0</v>
      </c>
    </row>
    <row r="15" spans="1:17" x14ac:dyDescent="0.25">
      <c r="A15" s="3" t="s">
        <v>49</v>
      </c>
      <c r="B15" s="3" t="s">
        <v>50</v>
      </c>
      <c r="C15" s="3" t="s">
        <v>53</v>
      </c>
      <c r="D15" s="3" t="s">
        <v>36</v>
      </c>
      <c r="E15" s="4">
        <v>1976</v>
      </c>
      <c r="F15" s="4">
        <v>2008</v>
      </c>
      <c r="G15" s="4">
        <v>136</v>
      </c>
      <c r="H15" s="4">
        <v>6</v>
      </c>
      <c r="I15" s="4">
        <v>35</v>
      </c>
      <c r="J15" s="5">
        <v>10318</v>
      </c>
      <c r="K15" s="5">
        <v>13115</v>
      </c>
      <c r="L15" s="5">
        <v>631</v>
      </c>
      <c r="M15" s="5">
        <v>99</v>
      </c>
      <c r="N15" s="5">
        <v>1926</v>
      </c>
      <c r="O15" s="4">
        <v>15651</v>
      </c>
      <c r="P15" s="4">
        <v>148</v>
      </c>
      <c r="Q15" s="4">
        <v>0</v>
      </c>
    </row>
    <row r="16" spans="1:17" x14ac:dyDescent="0.25">
      <c r="A16" s="3" t="s">
        <v>49</v>
      </c>
      <c r="B16" s="3" t="s">
        <v>54</v>
      </c>
      <c r="C16" s="3" t="s">
        <v>55</v>
      </c>
      <c r="D16" s="3" t="s">
        <v>36</v>
      </c>
      <c r="E16" s="4">
        <v>18788</v>
      </c>
      <c r="F16" s="4">
        <v>16315</v>
      </c>
      <c r="G16" s="4">
        <v>451</v>
      </c>
      <c r="H16" s="4">
        <v>50</v>
      </c>
      <c r="I16" s="4">
        <v>177</v>
      </c>
      <c r="J16" s="5">
        <v>11099</v>
      </c>
      <c r="K16" s="5">
        <v>11943</v>
      </c>
      <c r="L16" s="5">
        <v>163</v>
      </c>
      <c r="M16" s="5">
        <v>3</v>
      </c>
      <c r="N16" s="5">
        <v>114</v>
      </c>
      <c r="O16" s="4">
        <v>18894</v>
      </c>
      <c r="P16" s="4">
        <v>1561</v>
      </c>
      <c r="Q16" s="4">
        <v>0</v>
      </c>
    </row>
    <row r="17" spans="1:17" x14ac:dyDescent="0.25">
      <c r="A17" s="3" t="s">
        <v>49</v>
      </c>
      <c r="B17" s="3" t="s">
        <v>54</v>
      </c>
      <c r="C17" s="3" t="s">
        <v>56</v>
      </c>
      <c r="D17" s="3" t="s">
        <v>36</v>
      </c>
      <c r="E17" s="4">
        <v>31534</v>
      </c>
      <c r="F17" s="4">
        <v>30441</v>
      </c>
      <c r="G17" s="4">
        <v>836</v>
      </c>
      <c r="H17" s="4">
        <v>120</v>
      </c>
      <c r="I17" s="4">
        <v>191</v>
      </c>
      <c r="J17" s="5">
        <v>84878</v>
      </c>
      <c r="K17" s="5">
        <v>93316</v>
      </c>
      <c r="L17" s="5">
        <v>1066</v>
      </c>
      <c r="M17" s="5">
        <v>113</v>
      </c>
      <c r="N17" s="5">
        <v>2379</v>
      </c>
      <c r="O17" s="4">
        <v>113991</v>
      </c>
      <c r="P17" s="4">
        <v>2368</v>
      </c>
      <c r="Q17" s="4">
        <v>4</v>
      </c>
    </row>
    <row r="18" spans="1:17" x14ac:dyDescent="0.25">
      <c r="A18" s="3" t="s">
        <v>49</v>
      </c>
      <c r="B18" s="3" t="s">
        <v>54</v>
      </c>
      <c r="C18" s="3" t="s">
        <v>57</v>
      </c>
      <c r="D18" s="3" t="s">
        <v>36</v>
      </c>
      <c r="E18" s="4">
        <v>21859</v>
      </c>
      <c r="F18" s="4">
        <v>20647</v>
      </c>
      <c r="G18" s="4">
        <v>710</v>
      </c>
      <c r="H18" s="4">
        <v>107</v>
      </c>
      <c r="I18" s="4">
        <v>189</v>
      </c>
      <c r="J18" s="5">
        <v>11709</v>
      </c>
      <c r="K18" s="5">
        <v>16289</v>
      </c>
      <c r="L18" s="5">
        <v>1790</v>
      </c>
      <c r="M18" s="5">
        <v>276</v>
      </c>
      <c r="N18" s="5">
        <v>8275</v>
      </c>
      <c r="O18" s="4">
        <v>26948</v>
      </c>
      <c r="P18" s="4">
        <v>639</v>
      </c>
      <c r="Q18" s="4">
        <v>11</v>
      </c>
    </row>
    <row r="19" spans="1:17" x14ac:dyDescent="0.25">
      <c r="A19" s="3" t="s">
        <v>49</v>
      </c>
      <c r="B19" s="3" t="s">
        <v>58</v>
      </c>
      <c r="C19" s="3" t="s">
        <v>59</v>
      </c>
      <c r="D19" s="3" t="s">
        <v>36</v>
      </c>
      <c r="E19" s="4">
        <v>964</v>
      </c>
      <c r="F19" s="4">
        <v>1657</v>
      </c>
      <c r="G19" s="4">
        <v>34</v>
      </c>
      <c r="H19" s="4">
        <v>1</v>
      </c>
      <c r="I19" s="4">
        <v>8</v>
      </c>
      <c r="J19" s="5">
        <v>19</v>
      </c>
      <c r="K19" s="5">
        <v>22</v>
      </c>
      <c r="L19" s="5">
        <v>1</v>
      </c>
      <c r="M19" s="5">
        <v>0</v>
      </c>
      <c r="N19" s="5">
        <v>0</v>
      </c>
      <c r="O19" s="4">
        <v>215</v>
      </c>
      <c r="P19" s="4">
        <v>190</v>
      </c>
      <c r="Q19" s="4">
        <v>2</v>
      </c>
    </row>
    <row r="20" spans="1:17" x14ac:dyDescent="0.25">
      <c r="A20" s="3" t="s">
        <v>49</v>
      </c>
      <c r="B20" s="3" t="s">
        <v>58</v>
      </c>
      <c r="C20" s="3" t="s">
        <v>60</v>
      </c>
      <c r="D20" s="3" t="s">
        <v>36</v>
      </c>
      <c r="E20" s="4">
        <v>317</v>
      </c>
      <c r="F20" s="4">
        <v>1104</v>
      </c>
      <c r="G20" s="4">
        <v>38</v>
      </c>
      <c r="H20" s="4">
        <v>4</v>
      </c>
      <c r="I20" s="4">
        <v>9</v>
      </c>
      <c r="J20" s="5">
        <v>274</v>
      </c>
      <c r="K20" s="5">
        <v>522</v>
      </c>
      <c r="L20" s="5">
        <v>67</v>
      </c>
      <c r="M20" s="5">
        <v>6</v>
      </c>
      <c r="N20" s="5">
        <v>20</v>
      </c>
      <c r="O20" s="4">
        <v>796</v>
      </c>
      <c r="P20" s="4">
        <v>165</v>
      </c>
      <c r="Q20" s="4">
        <v>0</v>
      </c>
    </row>
    <row r="21" spans="1:17" x14ac:dyDescent="0.25">
      <c r="A21" s="3" t="s">
        <v>49</v>
      </c>
      <c r="B21" s="3" t="s">
        <v>58</v>
      </c>
      <c r="C21" s="3" t="s">
        <v>61</v>
      </c>
      <c r="D21" s="3" t="s">
        <v>36</v>
      </c>
      <c r="E21" s="4">
        <v>977</v>
      </c>
      <c r="F21" s="4">
        <v>1339</v>
      </c>
      <c r="G21" s="4">
        <v>53</v>
      </c>
      <c r="H21" s="4">
        <v>0</v>
      </c>
      <c r="I21" s="4">
        <v>9</v>
      </c>
      <c r="J21" s="5">
        <v>1553</v>
      </c>
      <c r="K21" s="5">
        <v>1958</v>
      </c>
      <c r="L21" s="5">
        <v>98</v>
      </c>
      <c r="M21" s="5">
        <v>10</v>
      </c>
      <c r="N21" s="5">
        <v>51</v>
      </c>
      <c r="O21" s="4">
        <v>2260</v>
      </c>
      <c r="P21" s="4">
        <v>155</v>
      </c>
      <c r="Q21" s="4">
        <v>0</v>
      </c>
    </row>
    <row r="22" spans="1:17" x14ac:dyDescent="0.25">
      <c r="A22" s="3" t="s">
        <v>49</v>
      </c>
      <c r="B22" s="3" t="s">
        <v>62</v>
      </c>
      <c r="C22" s="3" t="s">
        <v>63</v>
      </c>
      <c r="D22" s="3" t="s">
        <v>36</v>
      </c>
      <c r="E22" s="4">
        <v>1338</v>
      </c>
      <c r="F22" s="4">
        <v>1880</v>
      </c>
      <c r="G22" s="4">
        <v>53</v>
      </c>
      <c r="H22" s="4">
        <v>3</v>
      </c>
      <c r="I22" s="4">
        <v>12</v>
      </c>
      <c r="J22" s="5">
        <v>229</v>
      </c>
      <c r="K22" s="5">
        <v>288</v>
      </c>
      <c r="L22" s="5">
        <v>17</v>
      </c>
      <c r="M22" s="5">
        <v>0</v>
      </c>
      <c r="N22" s="5">
        <v>6</v>
      </c>
      <c r="O22" s="4">
        <v>404</v>
      </c>
      <c r="P22" s="4">
        <v>60</v>
      </c>
      <c r="Q22" s="4">
        <v>0</v>
      </c>
    </row>
    <row r="23" spans="1:17" x14ac:dyDescent="0.25">
      <c r="A23" s="3" t="s">
        <v>49</v>
      </c>
      <c r="B23" s="3" t="s">
        <v>62</v>
      </c>
      <c r="C23" s="3" t="s">
        <v>64</v>
      </c>
      <c r="D23" s="3" t="s">
        <v>36</v>
      </c>
      <c r="E23" s="4">
        <v>1439</v>
      </c>
      <c r="F23" s="4">
        <v>2662</v>
      </c>
      <c r="G23" s="4">
        <v>91</v>
      </c>
      <c r="H23" s="4">
        <v>7</v>
      </c>
      <c r="I23" s="4">
        <v>32</v>
      </c>
      <c r="J23" s="5">
        <v>4479</v>
      </c>
      <c r="K23" s="5">
        <v>5620</v>
      </c>
      <c r="L23" s="5">
        <v>180</v>
      </c>
      <c r="M23" s="5">
        <v>15</v>
      </c>
      <c r="N23" s="5">
        <v>96</v>
      </c>
      <c r="O23" s="4">
        <v>6443</v>
      </c>
      <c r="P23" s="4">
        <v>20</v>
      </c>
      <c r="Q23" s="4">
        <v>0</v>
      </c>
    </row>
    <row r="24" spans="1:17" x14ac:dyDescent="0.25">
      <c r="A24" s="3" t="s">
        <v>49</v>
      </c>
      <c r="B24" s="3" t="s">
        <v>62</v>
      </c>
      <c r="C24" s="3" t="s">
        <v>65</v>
      </c>
      <c r="D24" s="3" t="s">
        <v>36</v>
      </c>
      <c r="E24" s="4">
        <v>2292</v>
      </c>
      <c r="F24" s="4">
        <v>3043</v>
      </c>
      <c r="G24" s="4">
        <v>89</v>
      </c>
      <c r="H24" s="4">
        <v>11</v>
      </c>
      <c r="I24" s="4">
        <v>14</v>
      </c>
      <c r="J24" s="5">
        <v>4987</v>
      </c>
      <c r="K24" s="5">
        <v>7007</v>
      </c>
      <c r="L24" s="5">
        <v>216</v>
      </c>
      <c r="M24" s="5">
        <v>29</v>
      </c>
      <c r="N24" s="5">
        <v>188</v>
      </c>
      <c r="O24" s="4">
        <v>8438</v>
      </c>
      <c r="P24" s="4">
        <v>104</v>
      </c>
      <c r="Q24" s="4">
        <v>0</v>
      </c>
    </row>
    <row r="25" spans="1:17" x14ac:dyDescent="0.25">
      <c r="A25" s="3" t="s">
        <v>49</v>
      </c>
      <c r="B25" s="3" t="s">
        <v>66</v>
      </c>
      <c r="C25" s="3" t="s">
        <v>67</v>
      </c>
      <c r="D25" s="3" t="s">
        <v>36</v>
      </c>
      <c r="E25" s="4">
        <v>62</v>
      </c>
      <c r="F25" s="4">
        <v>317</v>
      </c>
      <c r="G25" s="4">
        <v>8</v>
      </c>
      <c r="H25" s="4">
        <v>1</v>
      </c>
      <c r="I25" s="4">
        <v>0</v>
      </c>
      <c r="J25" s="5">
        <v>597</v>
      </c>
      <c r="K25" s="5">
        <v>674</v>
      </c>
      <c r="L25" s="5">
        <v>3</v>
      </c>
      <c r="M25" s="5">
        <v>0</v>
      </c>
      <c r="N25" s="5">
        <v>1</v>
      </c>
      <c r="O25" s="4">
        <v>742</v>
      </c>
      <c r="P25" s="4">
        <v>1</v>
      </c>
      <c r="Q25" s="4">
        <v>0</v>
      </c>
    </row>
    <row r="26" spans="1:17" x14ac:dyDescent="0.25">
      <c r="A26" s="3" t="s">
        <v>49</v>
      </c>
      <c r="B26" s="3" t="s">
        <v>66</v>
      </c>
      <c r="C26" s="3" t="s">
        <v>68</v>
      </c>
      <c r="D26" s="3" t="s">
        <v>36</v>
      </c>
      <c r="E26" s="4">
        <v>1742</v>
      </c>
      <c r="F26" s="4">
        <v>2630</v>
      </c>
      <c r="G26" s="4">
        <v>86</v>
      </c>
      <c r="H26" s="4">
        <v>7</v>
      </c>
      <c r="I26" s="4">
        <v>19</v>
      </c>
      <c r="J26" s="5">
        <v>2934</v>
      </c>
      <c r="K26" s="5">
        <v>3152</v>
      </c>
      <c r="L26" s="5">
        <v>65</v>
      </c>
      <c r="M26" s="5">
        <v>5</v>
      </c>
      <c r="N26" s="5">
        <v>30</v>
      </c>
      <c r="O26" s="4">
        <v>4125</v>
      </c>
      <c r="P26" s="4">
        <v>119</v>
      </c>
      <c r="Q26" s="4">
        <v>7</v>
      </c>
    </row>
    <row r="27" spans="1:17" x14ac:dyDescent="0.25">
      <c r="A27" s="3" t="s">
        <v>49</v>
      </c>
      <c r="B27" s="3" t="s">
        <v>66</v>
      </c>
      <c r="C27" s="3" t="s">
        <v>69</v>
      </c>
      <c r="D27" s="3" t="s">
        <v>36</v>
      </c>
      <c r="E27" s="4">
        <v>1417</v>
      </c>
      <c r="F27" s="4">
        <v>1629</v>
      </c>
      <c r="G27" s="4">
        <v>64</v>
      </c>
      <c r="H27" s="4">
        <v>4</v>
      </c>
      <c r="I27" s="4">
        <v>18</v>
      </c>
      <c r="J27" s="5">
        <v>5087</v>
      </c>
      <c r="K27" s="5">
        <v>8002</v>
      </c>
      <c r="L27" s="5">
        <v>749</v>
      </c>
      <c r="M27" s="5">
        <v>34</v>
      </c>
      <c r="N27" s="5">
        <v>1375</v>
      </c>
      <c r="O27" s="4">
        <v>10269</v>
      </c>
      <c r="P27" s="4">
        <v>129</v>
      </c>
      <c r="Q27" s="4">
        <v>2</v>
      </c>
    </row>
    <row r="28" spans="1:17" x14ac:dyDescent="0.25">
      <c r="A28" s="3" t="s">
        <v>70</v>
      </c>
      <c r="B28" s="3" t="s">
        <v>71</v>
      </c>
      <c r="C28" s="3" t="s">
        <v>72</v>
      </c>
      <c r="D28" s="3" t="s">
        <v>36</v>
      </c>
      <c r="E28" s="4">
        <v>9639</v>
      </c>
      <c r="F28" s="4">
        <v>9594</v>
      </c>
      <c r="G28" s="4">
        <v>392</v>
      </c>
      <c r="H28" s="4">
        <v>40</v>
      </c>
      <c r="I28" s="4">
        <v>84</v>
      </c>
      <c r="J28" s="5">
        <v>75555</v>
      </c>
      <c r="K28" s="5">
        <v>102059</v>
      </c>
      <c r="L28" s="5">
        <v>4170</v>
      </c>
      <c r="M28" s="5">
        <v>936</v>
      </c>
      <c r="N28" s="5">
        <v>31353</v>
      </c>
      <c r="O28" s="4">
        <v>137751</v>
      </c>
      <c r="P28" s="4">
        <v>283</v>
      </c>
      <c r="Q28" s="4">
        <v>0</v>
      </c>
    </row>
    <row r="29" spans="1:17" x14ac:dyDescent="0.25">
      <c r="A29" s="3" t="s">
        <v>70</v>
      </c>
      <c r="B29" s="3" t="s">
        <v>71</v>
      </c>
      <c r="C29" s="3" t="s">
        <v>73</v>
      </c>
      <c r="D29" s="3" t="s">
        <v>36</v>
      </c>
      <c r="E29" s="4">
        <v>6063</v>
      </c>
      <c r="F29" s="4">
        <v>5823</v>
      </c>
      <c r="G29" s="4">
        <v>181</v>
      </c>
      <c r="H29" s="4">
        <v>46</v>
      </c>
      <c r="I29" s="4">
        <v>172</v>
      </c>
      <c r="J29" s="5">
        <v>14180</v>
      </c>
      <c r="K29" s="5">
        <v>18807</v>
      </c>
      <c r="L29" s="5">
        <v>1018</v>
      </c>
      <c r="M29" s="5">
        <v>228</v>
      </c>
      <c r="N29" s="5">
        <v>1933</v>
      </c>
      <c r="O29" s="4">
        <v>22653</v>
      </c>
      <c r="P29" s="4">
        <v>46</v>
      </c>
      <c r="Q29" s="4">
        <v>3</v>
      </c>
    </row>
    <row r="30" spans="1:17" x14ac:dyDescent="0.25">
      <c r="A30" s="3" t="s">
        <v>70</v>
      </c>
      <c r="B30" s="3" t="s">
        <v>71</v>
      </c>
      <c r="C30" s="3" t="s">
        <v>74</v>
      </c>
      <c r="D30" s="3" t="s">
        <v>36</v>
      </c>
      <c r="E30" s="4">
        <v>4090</v>
      </c>
      <c r="F30" s="4">
        <v>4144</v>
      </c>
      <c r="G30" s="4">
        <v>116</v>
      </c>
      <c r="H30" s="4">
        <v>11</v>
      </c>
      <c r="I30" s="4">
        <v>30</v>
      </c>
      <c r="J30" s="5">
        <v>8152</v>
      </c>
      <c r="K30" s="5">
        <v>11253</v>
      </c>
      <c r="L30" s="5">
        <v>460</v>
      </c>
      <c r="M30" s="5">
        <v>31</v>
      </c>
      <c r="N30" s="5">
        <v>46</v>
      </c>
      <c r="O30" s="4">
        <v>11482</v>
      </c>
      <c r="P30" s="4">
        <v>42</v>
      </c>
      <c r="Q30" s="4">
        <v>0</v>
      </c>
    </row>
    <row r="31" spans="1:17" x14ac:dyDescent="0.25">
      <c r="A31" s="3" t="s">
        <v>70</v>
      </c>
      <c r="B31" s="3" t="s">
        <v>75</v>
      </c>
      <c r="C31" s="3" t="s">
        <v>76</v>
      </c>
      <c r="D31" s="3" t="s">
        <v>36</v>
      </c>
      <c r="E31" s="4">
        <v>9228</v>
      </c>
      <c r="F31" s="4">
        <v>9027</v>
      </c>
      <c r="G31" s="4">
        <v>272</v>
      </c>
      <c r="H31" s="4">
        <v>32</v>
      </c>
      <c r="I31" s="4">
        <v>64</v>
      </c>
      <c r="J31" s="5">
        <v>23001</v>
      </c>
      <c r="K31" s="5">
        <v>30000</v>
      </c>
      <c r="L31" s="5">
        <v>1397</v>
      </c>
      <c r="M31" s="5">
        <v>557</v>
      </c>
      <c r="N31" s="5">
        <v>695</v>
      </c>
      <c r="O31" s="4">
        <v>34223</v>
      </c>
      <c r="P31" s="4">
        <v>577</v>
      </c>
      <c r="Q31" s="4">
        <v>0</v>
      </c>
    </row>
    <row r="32" spans="1:17" x14ac:dyDescent="0.25">
      <c r="A32" s="3" t="s">
        <v>70</v>
      </c>
      <c r="B32" s="3" t="s">
        <v>75</v>
      </c>
      <c r="C32" s="3" t="s">
        <v>77</v>
      </c>
      <c r="D32" s="3" t="s">
        <v>36</v>
      </c>
      <c r="E32" s="4">
        <v>1919</v>
      </c>
      <c r="F32" s="4">
        <v>2068</v>
      </c>
      <c r="G32" s="4">
        <v>70</v>
      </c>
      <c r="H32" s="4">
        <v>11</v>
      </c>
      <c r="I32" s="4">
        <v>9</v>
      </c>
      <c r="J32" s="5">
        <v>4338</v>
      </c>
      <c r="K32" s="5">
        <v>4962</v>
      </c>
      <c r="L32" s="5">
        <v>21</v>
      </c>
      <c r="M32" s="5">
        <v>1</v>
      </c>
      <c r="N32" s="5">
        <v>4</v>
      </c>
      <c r="O32" s="4">
        <v>5417</v>
      </c>
      <c r="P32" s="4">
        <v>6</v>
      </c>
      <c r="Q32" s="4">
        <v>0</v>
      </c>
    </row>
    <row r="33" spans="1:17" x14ac:dyDescent="0.25">
      <c r="A33" s="3" t="s">
        <v>70</v>
      </c>
      <c r="B33" s="3" t="s">
        <v>75</v>
      </c>
      <c r="C33" s="3" t="s">
        <v>78</v>
      </c>
      <c r="D33" s="3" t="s">
        <v>36</v>
      </c>
      <c r="E33" s="4">
        <v>1171</v>
      </c>
      <c r="F33" s="4">
        <v>1289</v>
      </c>
      <c r="G33" s="4">
        <v>53</v>
      </c>
      <c r="H33" s="4">
        <v>8</v>
      </c>
      <c r="I33" s="4">
        <v>17</v>
      </c>
      <c r="J33" s="5">
        <v>637</v>
      </c>
      <c r="K33" s="5">
        <v>1772</v>
      </c>
      <c r="L33" s="5">
        <v>708</v>
      </c>
      <c r="M33" s="5">
        <v>1</v>
      </c>
      <c r="N33" s="5">
        <v>35</v>
      </c>
      <c r="O33" s="4">
        <v>2817</v>
      </c>
      <c r="P33" s="4">
        <v>448</v>
      </c>
      <c r="Q33" s="4">
        <v>0</v>
      </c>
    </row>
    <row r="34" spans="1:17" x14ac:dyDescent="0.25">
      <c r="A34" s="3" t="s">
        <v>70</v>
      </c>
      <c r="B34" s="3" t="s">
        <v>79</v>
      </c>
      <c r="C34" s="3" t="s">
        <v>80</v>
      </c>
      <c r="D34" s="3" t="s">
        <v>36</v>
      </c>
      <c r="E34" s="4">
        <v>1657</v>
      </c>
      <c r="F34" s="4">
        <v>1586</v>
      </c>
      <c r="G34" s="4">
        <v>72</v>
      </c>
      <c r="H34" s="4">
        <v>9</v>
      </c>
      <c r="I34" s="4">
        <v>15</v>
      </c>
      <c r="J34" s="5">
        <v>7148</v>
      </c>
      <c r="K34" s="5">
        <v>9621</v>
      </c>
      <c r="L34" s="5">
        <v>223</v>
      </c>
      <c r="M34" s="5">
        <v>0</v>
      </c>
      <c r="N34" s="5">
        <v>113</v>
      </c>
      <c r="O34" s="4">
        <v>11695</v>
      </c>
      <c r="P34" s="4">
        <v>1223</v>
      </c>
      <c r="Q34" s="4">
        <v>0</v>
      </c>
    </row>
    <row r="35" spans="1:17" x14ac:dyDescent="0.25">
      <c r="A35" s="3" t="s">
        <v>70</v>
      </c>
      <c r="B35" s="3" t="s">
        <v>79</v>
      </c>
      <c r="C35" s="3" t="s">
        <v>81</v>
      </c>
      <c r="D35" s="3" t="s">
        <v>36</v>
      </c>
      <c r="E35" s="4">
        <v>4834</v>
      </c>
      <c r="F35" s="4">
        <v>4571</v>
      </c>
      <c r="G35" s="4">
        <v>111</v>
      </c>
      <c r="H35" s="4">
        <v>14</v>
      </c>
      <c r="I35" s="4">
        <v>20</v>
      </c>
      <c r="J35" s="5">
        <v>5292</v>
      </c>
      <c r="K35" s="5">
        <v>7907</v>
      </c>
      <c r="L35" s="5">
        <v>368</v>
      </c>
      <c r="M35" s="5">
        <v>23</v>
      </c>
      <c r="N35" s="5">
        <v>83</v>
      </c>
      <c r="O35" s="4">
        <v>12228</v>
      </c>
      <c r="P35" s="4">
        <v>2044</v>
      </c>
      <c r="Q35" s="4">
        <v>483</v>
      </c>
    </row>
    <row r="36" spans="1:17" x14ac:dyDescent="0.25">
      <c r="A36" s="3" t="s">
        <v>70</v>
      </c>
      <c r="B36" s="3" t="s">
        <v>79</v>
      </c>
      <c r="C36" s="3" t="s">
        <v>82</v>
      </c>
      <c r="D36" s="3" t="s">
        <v>36</v>
      </c>
      <c r="E36" s="4">
        <v>3593</v>
      </c>
      <c r="F36" s="4">
        <v>3481</v>
      </c>
      <c r="G36" s="4">
        <v>89</v>
      </c>
      <c r="H36" s="4">
        <v>11</v>
      </c>
      <c r="I36" s="4">
        <v>22</v>
      </c>
      <c r="J36" s="5">
        <v>5653</v>
      </c>
      <c r="K36" s="5">
        <v>6458</v>
      </c>
      <c r="L36" s="5">
        <v>64</v>
      </c>
      <c r="M36" s="5">
        <v>4</v>
      </c>
      <c r="N36" s="5">
        <v>18</v>
      </c>
      <c r="O36" s="4">
        <v>6646</v>
      </c>
      <c r="P36" s="4">
        <v>190</v>
      </c>
      <c r="Q36" s="4">
        <v>2</v>
      </c>
    </row>
    <row r="37" spans="1:17" x14ac:dyDescent="0.25">
      <c r="A37" s="3" t="s">
        <v>70</v>
      </c>
      <c r="B37" s="3" t="s">
        <v>83</v>
      </c>
      <c r="C37" s="3" t="s">
        <v>84</v>
      </c>
      <c r="D37" s="3" t="s">
        <v>36</v>
      </c>
      <c r="E37" s="4">
        <v>2902</v>
      </c>
      <c r="F37" s="4">
        <v>2769</v>
      </c>
      <c r="G37" s="4">
        <v>76</v>
      </c>
      <c r="H37" s="4">
        <v>8</v>
      </c>
      <c r="I37" s="4">
        <v>12</v>
      </c>
      <c r="J37" s="5">
        <v>370</v>
      </c>
      <c r="K37" s="5">
        <v>773</v>
      </c>
      <c r="L37" s="5">
        <v>50</v>
      </c>
      <c r="M37" s="5">
        <v>3</v>
      </c>
      <c r="N37" s="5">
        <v>3</v>
      </c>
      <c r="O37" s="4">
        <v>1029</v>
      </c>
      <c r="P37" s="4">
        <v>17</v>
      </c>
      <c r="Q37" s="4">
        <v>0</v>
      </c>
    </row>
    <row r="38" spans="1:17" x14ac:dyDescent="0.25">
      <c r="A38" s="3" t="s">
        <v>70</v>
      </c>
      <c r="B38" s="3" t="s">
        <v>83</v>
      </c>
      <c r="C38" s="3" t="s">
        <v>85</v>
      </c>
      <c r="D38" s="3" t="s">
        <v>36</v>
      </c>
      <c r="E38" s="4">
        <v>2296</v>
      </c>
      <c r="F38" s="4">
        <v>2225</v>
      </c>
      <c r="G38" s="4">
        <v>115</v>
      </c>
      <c r="H38" s="4">
        <v>12</v>
      </c>
      <c r="I38" s="4">
        <v>26</v>
      </c>
      <c r="J38" s="5">
        <v>10525</v>
      </c>
      <c r="K38" s="5">
        <v>19024</v>
      </c>
      <c r="L38" s="5">
        <v>2291</v>
      </c>
      <c r="M38" s="5">
        <v>737</v>
      </c>
      <c r="N38" s="5">
        <v>1740</v>
      </c>
      <c r="O38" s="4">
        <v>25540</v>
      </c>
      <c r="P38" s="4">
        <v>2111</v>
      </c>
      <c r="Q38" s="4">
        <v>0</v>
      </c>
    </row>
    <row r="39" spans="1:17" x14ac:dyDescent="0.25">
      <c r="A39" s="3" t="s">
        <v>70</v>
      </c>
      <c r="B39" s="3" t="s">
        <v>83</v>
      </c>
      <c r="C39" s="3" t="s">
        <v>86</v>
      </c>
      <c r="D39" s="3" t="s">
        <v>36</v>
      </c>
      <c r="E39" s="4">
        <v>656</v>
      </c>
      <c r="F39" s="4">
        <v>596</v>
      </c>
      <c r="G39" s="4">
        <v>16</v>
      </c>
      <c r="H39" s="4">
        <v>1</v>
      </c>
      <c r="I39" s="4">
        <v>4</v>
      </c>
      <c r="J39" s="5">
        <v>80</v>
      </c>
      <c r="K39" s="5">
        <v>76</v>
      </c>
      <c r="L39" s="5">
        <v>0</v>
      </c>
      <c r="M39" s="5">
        <v>0</v>
      </c>
      <c r="N39" s="5">
        <v>0</v>
      </c>
      <c r="O39" s="4">
        <v>106</v>
      </c>
      <c r="P39" s="4">
        <v>0</v>
      </c>
      <c r="Q39" s="4">
        <v>0</v>
      </c>
    </row>
    <row r="40" spans="1:17" x14ac:dyDescent="0.25">
      <c r="A40" s="3" t="s">
        <v>87</v>
      </c>
      <c r="B40" s="3" t="s">
        <v>88</v>
      </c>
      <c r="C40" s="3" t="s">
        <v>8</v>
      </c>
      <c r="D40" s="3" t="s">
        <v>36</v>
      </c>
      <c r="E40" s="4">
        <v>4581</v>
      </c>
      <c r="F40" s="4">
        <v>4478</v>
      </c>
      <c r="G40" s="4">
        <v>175</v>
      </c>
      <c r="H40" s="4">
        <v>9</v>
      </c>
      <c r="I40" s="4">
        <v>44</v>
      </c>
      <c r="J40" s="5">
        <v>31039</v>
      </c>
      <c r="K40" s="5">
        <v>40814</v>
      </c>
      <c r="L40" s="5">
        <v>1577</v>
      </c>
      <c r="M40" s="5">
        <v>487</v>
      </c>
      <c r="N40" s="5">
        <v>11458</v>
      </c>
      <c r="O40" s="4">
        <v>55328</v>
      </c>
      <c r="P40" s="4">
        <v>67</v>
      </c>
      <c r="Q40" s="4">
        <v>0</v>
      </c>
    </row>
    <row r="41" spans="1:17" x14ac:dyDescent="0.25">
      <c r="A41" s="3" t="s">
        <v>87</v>
      </c>
      <c r="B41" s="3" t="s">
        <v>88</v>
      </c>
      <c r="C41" s="3" t="s">
        <v>9</v>
      </c>
      <c r="D41" s="3" t="s">
        <v>36</v>
      </c>
      <c r="E41" s="4">
        <v>8243</v>
      </c>
      <c r="F41" s="4">
        <v>7799</v>
      </c>
      <c r="G41" s="4">
        <v>290</v>
      </c>
      <c r="H41" s="4">
        <v>32</v>
      </c>
      <c r="I41" s="4">
        <v>64</v>
      </c>
      <c r="J41" s="5">
        <v>36500</v>
      </c>
      <c r="K41" s="5">
        <v>52610</v>
      </c>
      <c r="L41" s="5">
        <v>2546</v>
      </c>
      <c r="M41" s="5">
        <v>396</v>
      </c>
      <c r="N41" s="5">
        <v>10867</v>
      </c>
      <c r="O41" s="4">
        <v>67115</v>
      </c>
      <c r="P41" s="4">
        <v>94</v>
      </c>
      <c r="Q41" s="4">
        <v>0</v>
      </c>
    </row>
    <row r="42" spans="1:17" x14ac:dyDescent="0.25">
      <c r="A42" s="3" t="s">
        <v>87</v>
      </c>
      <c r="B42" s="3" t="s">
        <v>88</v>
      </c>
      <c r="C42" s="3" t="s">
        <v>10</v>
      </c>
      <c r="D42" s="3" t="s">
        <v>36</v>
      </c>
      <c r="E42" s="4">
        <v>10579</v>
      </c>
      <c r="F42" s="4">
        <v>10598</v>
      </c>
      <c r="G42" s="4">
        <v>481</v>
      </c>
      <c r="H42" s="4">
        <v>51</v>
      </c>
      <c r="I42" s="4">
        <v>312</v>
      </c>
      <c r="J42" s="5">
        <v>48781</v>
      </c>
      <c r="K42" s="5">
        <v>74122</v>
      </c>
      <c r="L42" s="5">
        <v>4715</v>
      </c>
      <c r="M42" s="5">
        <v>450</v>
      </c>
      <c r="N42" s="5">
        <v>11982</v>
      </c>
      <c r="O42" s="4">
        <v>94479</v>
      </c>
      <c r="P42" s="4">
        <v>2695</v>
      </c>
      <c r="Q42" s="4">
        <v>9</v>
      </c>
    </row>
    <row r="43" spans="1:17" x14ac:dyDescent="0.25">
      <c r="A43" s="3" t="s">
        <v>87</v>
      </c>
      <c r="B43" s="3" t="s">
        <v>89</v>
      </c>
      <c r="C43" s="3" t="s">
        <v>11</v>
      </c>
      <c r="D43" s="3" t="s">
        <v>36</v>
      </c>
      <c r="E43" s="4">
        <v>9452</v>
      </c>
      <c r="F43" s="4">
        <v>9128</v>
      </c>
      <c r="G43" s="4">
        <v>384</v>
      </c>
      <c r="H43" s="4">
        <v>38</v>
      </c>
      <c r="I43" s="4">
        <v>79</v>
      </c>
      <c r="J43" s="5">
        <v>30404</v>
      </c>
      <c r="K43" s="5">
        <v>42971</v>
      </c>
      <c r="L43" s="5">
        <v>2116</v>
      </c>
      <c r="M43" s="5">
        <v>251</v>
      </c>
      <c r="N43" s="5">
        <v>14053</v>
      </c>
      <c r="O43" s="4">
        <v>60670</v>
      </c>
      <c r="P43" s="4">
        <v>643</v>
      </c>
      <c r="Q43" s="4">
        <v>551</v>
      </c>
    </row>
    <row r="44" spans="1:17" x14ac:dyDescent="0.25">
      <c r="A44" s="3" t="s">
        <v>87</v>
      </c>
      <c r="B44" s="3" t="s">
        <v>89</v>
      </c>
      <c r="C44" s="3" t="s">
        <v>12</v>
      </c>
      <c r="D44" s="3" t="s">
        <v>36</v>
      </c>
      <c r="E44" s="4">
        <v>3438</v>
      </c>
      <c r="F44" s="4">
        <v>1964</v>
      </c>
      <c r="G44" s="4">
        <v>25</v>
      </c>
      <c r="H44" s="4">
        <v>3</v>
      </c>
      <c r="I44" s="4">
        <v>8</v>
      </c>
      <c r="J44" s="5">
        <v>16</v>
      </c>
      <c r="K44" s="5">
        <v>44</v>
      </c>
      <c r="L44" s="5">
        <v>0</v>
      </c>
      <c r="M44" s="5">
        <v>0</v>
      </c>
      <c r="N44" s="5">
        <v>2</v>
      </c>
      <c r="O44" s="4">
        <v>200</v>
      </c>
      <c r="P44" s="4">
        <v>0</v>
      </c>
      <c r="Q44" s="4">
        <v>0</v>
      </c>
    </row>
    <row r="45" spans="1:17" x14ac:dyDescent="0.25">
      <c r="A45" s="3" t="s">
        <v>87</v>
      </c>
      <c r="B45" s="3" t="s">
        <v>89</v>
      </c>
      <c r="C45" s="3" t="s">
        <v>13</v>
      </c>
      <c r="D45" s="3" t="s">
        <v>36</v>
      </c>
      <c r="E45" s="4">
        <v>941</v>
      </c>
      <c r="F45" s="4">
        <v>867</v>
      </c>
      <c r="G45" s="4">
        <v>23</v>
      </c>
      <c r="H45" s="4">
        <v>5</v>
      </c>
      <c r="I45" s="4">
        <v>8</v>
      </c>
      <c r="J45" s="5">
        <v>329</v>
      </c>
      <c r="K45" s="5">
        <v>387</v>
      </c>
      <c r="L45" s="5">
        <v>22</v>
      </c>
      <c r="M45" s="5">
        <v>0</v>
      </c>
      <c r="N45" s="5">
        <v>54</v>
      </c>
      <c r="O45" s="4">
        <v>454</v>
      </c>
      <c r="P45" s="4">
        <v>3</v>
      </c>
      <c r="Q45" s="4">
        <v>0</v>
      </c>
    </row>
    <row r="46" spans="1:17" x14ac:dyDescent="0.25">
      <c r="A46" s="3" t="s">
        <v>87</v>
      </c>
      <c r="B46" s="3" t="s">
        <v>90</v>
      </c>
      <c r="C46" s="3" t="s">
        <v>14</v>
      </c>
      <c r="D46" s="3" t="s">
        <v>36</v>
      </c>
      <c r="E46" s="4">
        <v>1517</v>
      </c>
      <c r="F46" s="4">
        <v>1889</v>
      </c>
      <c r="G46" s="4">
        <v>54</v>
      </c>
      <c r="H46" s="4">
        <v>1</v>
      </c>
      <c r="I46" s="4">
        <v>12</v>
      </c>
      <c r="J46" s="5">
        <v>1604</v>
      </c>
      <c r="K46" s="5">
        <v>2288</v>
      </c>
      <c r="L46" s="5">
        <v>139</v>
      </c>
      <c r="M46" s="5">
        <v>2</v>
      </c>
      <c r="N46" s="5">
        <v>87</v>
      </c>
      <c r="O46" s="4">
        <v>2788</v>
      </c>
      <c r="P46" s="4">
        <v>361</v>
      </c>
      <c r="Q46" s="4">
        <v>96</v>
      </c>
    </row>
    <row r="47" spans="1:17" x14ac:dyDescent="0.25">
      <c r="A47" s="3" t="s">
        <v>87</v>
      </c>
      <c r="B47" s="3" t="s">
        <v>90</v>
      </c>
      <c r="C47" s="3" t="s">
        <v>15</v>
      </c>
      <c r="D47" s="3" t="s">
        <v>36</v>
      </c>
      <c r="E47" s="4">
        <v>2011</v>
      </c>
      <c r="F47" s="4">
        <v>2395</v>
      </c>
      <c r="G47" s="4">
        <v>55</v>
      </c>
      <c r="H47" s="4">
        <v>1</v>
      </c>
      <c r="I47" s="4">
        <v>8</v>
      </c>
      <c r="J47" s="5">
        <v>996</v>
      </c>
      <c r="K47" s="5">
        <v>1078</v>
      </c>
      <c r="L47" s="5">
        <v>22</v>
      </c>
      <c r="M47" s="5">
        <v>0</v>
      </c>
      <c r="N47" s="5">
        <v>1</v>
      </c>
      <c r="O47" s="4">
        <v>1062</v>
      </c>
      <c r="P47" s="4">
        <v>84</v>
      </c>
      <c r="Q47" s="4">
        <v>2</v>
      </c>
    </row>
    <row r="48" spans="1:17" x14ac:dyDescent="0.25">
      <c r="A48" s="3" t="s">
        <v>87</v>
      </c>
      <c r="B48" s="3" t="s">
        <v>90</v>
      </c>
      <c r="C48" s="3" t="s">
        <v>16</v>
      </c>
      <c r="D48" s="3" t="s">
        <v>36</v>
      </c>
      <c r="E48" s="4">
        <v>2073</v>
      </c>
      <c r="F48" s="4">
        <v>2145</v>
      </c>
      <c r="G48" s="4">
        <v>72</v>
      </c>
      <c r="H48" s="4">
        <v>12</v>
      </c>
      <c r="I48" s="4">
        <v>26</v>
      </c>
      <c r="J48" s="5">
        <v>1896</v>
      </c>
      <c r="K48" s="5">
        <v>2678</v>
      </c>
      <c r="L48" s="5">
        <v>322</v>
      </c>
      <c r="M48" s="5">
        <v>3</v>
      </c>
      <c r="N48" s="5">
        <v>219</v>
      </c>
      <c r="O48" s="4">
        <v>3563</v>
      </c>
      <c r="P48" s="4">
        <v>585</v>
      </c>
      <c r="Q48" s="4">
        <v>399</v>
      </c>
    </row>
    <row r="49" spans="1:17" x14ac:dyDescent="0.25">
      <c r="A49" s="3" t="s">
        <v>87</v>
      </c>
      <c r="B49" s="3" t="s">
        <v>91</v>
      </c>
      <c r="C49" s="3" t="s">
        <v>17</v>
      </c>
      <c r="D49" s="3" t="s">
        <v>36</v>
      </c>
      <c r="E49" s="4">
        <v>1397</v>
      </c>
      <c r="F49" s="4">
        <v>1278</v>
      </c>
      <c r="G49" s="4">
        <v>46</v>
      </c>
      <c r="H49" s="4">
        <v>2</v>
      </c>
      <c r="I49" s="4">
        <v>4</v>
      </c>
      <c r="J49" s="5">
        <v>1657</v>
      </c>
      <c r="K49" s="5">
        <v>2193</v>
      </c>
      <c r="L49" s="5">
        <v>273</v>
      </c>
      <c r="M49" s="5">
        <v>24</v>
      </c>
      <c r="N49" s="5">
        <v>23</v>
      </c>
      <c r="O49" s="4">
        <v>3000</v>
      </c>
      <c r="P49" s="4">
        <v>583</v>
      </c>
      <c r="Q49" s="4">
        <v>0</v>
      </c>
    </row>
    <row r="50" spans="1:17" x14ac:dyDescent="0.25">
      <c r="A50" s="3" t="s">
        <v>87</v>
      </c>
      <c r="B50" s="3" t="s">
        <v>91</v>
      </c>
      <c r="C50" s="3" t="s">
        <v>18</v>
      </c>
      <c r="D50" s="3" t="s">
        <v>36</v>
      </c>
      <c r="E50" s="4">
        <v>847</v>
      </c>
      <c r="F50" s="4">
        <v>777</v>
      </c>
      <c r="G50" s="4">
        <v>16</v>
      </c>
      <c r="H50" s="4">
        <v>1</v>
      </c>
      <c r="I50" s="4">
        <v>3</v>
      </c>
      <c r="J50" s="5">
        <v>366</v>
      </c>
      <c r="K50" s="5">
        <v>400</v>
      </c>
      <c r="L50" s="5">
        <v>41</v>
      </c>
      <c r="M50" s="5">
        <v>4</v>
      </c>
      <c r="N50" s="5">
        <v>3</v>
      </c>
      <c r="O50" s="4">
        <v>1000</v>
      </c>
      <c r="P50" s="4">
        <v>316</v>
      </c>
      <c r="Q50" s="4">
        <v>38</v>
      </c>
    </row>
    <row r="51" spans="1:17" x14ac:dyDescent="0.25">
      <c r="A51" s="3" t="s">
        <v>87</v>
      </c>
      <c r="B51" s="3" t="s">
        <v>91</v>
      </c>
      <c r="C51" s="3" t="s">
        <v>19</v>
      </c>
      <c r="D51" s="3" t="s">
        <v>36</v>
      </c>
      <c r="E51" s="4">
        <v>2639</v>
      </c>
      <c r="F51" s="4">
        <v>4343</v>
      </c>
      <c r="G51" s="4">
        <v>179</v>
      </c>
      <c r="H51" s="4">
        <v>13</v>
      </c>
      <c r="I51" s="4">
        <v>16</v>
      </c>
      <c r="J51" s="5">
        <v>1807</v>
      </c>
      <c r="K51" s="5">
        <v>2579</v>
      </c>
      <c r="L51" s="5">
        <v>177</v>
      </c>
      <c r="M51" s="5">
        <v>8</v>
      </c>
      <c r="N51" s="5">
        <v>56</v>
      </c>
      <c r="O51" s="4">
        <v>2774</v>
      </c>
      <c r="P51" s="4">
        <v>170</v>
      </c>
      <c r="Q51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today</vt:lpstr>
      <vt:lpstr>yesterday</vt:lpstr>
    </vt:vector>
  </TitlesOfParts>
  <Company>WE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Ahmmed Hasan</dc:creator>
  <cp:lastModifiedBy>Sherif Elsherif</cp:lastModifiedBy>
  <dcterms:created xsi:type="dcterms:W3CDTF">2026-08-12T07:41:03Z</dcterms:created>
  <dcterms:modified xsi:type="dcterms:W3CDTF">2026-10-20T20:26:33Z</dcterms:modified>
</cp:coreProperties>
</file>